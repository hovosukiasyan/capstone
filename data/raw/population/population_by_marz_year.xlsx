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ovosukiasyan/Capstone/data/raw/population/"/>
    </mc:Choice>
  </mc:AlternateContent>
  <xr:revisionPtr revIDLastSave="0" documentId="13_ncr:1_{8D11F5E8-4C9E-3847-BDB5-0062FB1899AF}" xr6:coauthVersionLast="47" xr6:coauthVersionMax="47" xr10:uidLastSave="{00000000-0000-0000-0000-000000000000}"/>
  <bookViews>
    <workbookView xWindow="0" yWindow="660" windowWidth="29040" windowHeight="15840" tabRatio="410" xr2:uid="{00000000-000D-0000-FFFF-FFFF00000000}"/>
  </bookViews>
  <sheets>
    <sheet name="Totalpopulation" sheetId="1" r:id="rId1"/>
    <sheet name="Urbanpopulation" sheetId="2" r:id="rId2"/>
    <sheet name="Ruralpopulation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6" i="1" l="1"/>
  <c r="M65" i="1"/>
  <c r="M64" i="1"/>
  <c r="M63" i="1"/>
  <c r="M60" i="1"/>
  <c r="M59" i="1"/>
  <c r="M58" i="1" s="1"/>
  <c r="M56" i="1"/>
  <c r="M55" i="1"/>
  <c r="M54" i="1"/>
  <c r="M53" i="1"/>
  <c r="M50" i="1"/>
  <c r="M49" i="1"/>
  <c r="M48" i="1"/>
  <c r="M47" i="1"/>
  <c r="M46" i="1"/>
  <c r="M45" i="1"/>
  <c r="M44" i="1" s="1"/>
  <c r="M42" i="1"/>
  <c r="M39" i="1" s="1"/>
  <c r="M41" i="1"/>
  <c r="M40" i="1"/>
  <c r="M37" i="1"/>
  <c r="M36" i="1"/>
  <c r="M35" i="1"/>
  <c r="M34" i="1"/>
  <c r="M33" i="1"/>
  <c r="M32" i="1"/>
  <c r="M29" i="1"/>
  <c r="M28" i="1"/>
  <c r="M27" i="1"/>
  <c r="M26" i="1"/>
  <c r="M25" i="1"/>
  <c r="M24" i="1" s="1"/>
  <c r="M22" i="1"/>
  <c r="M21" i="1"/>
  <c r="M20" i="1"/>
  <c r="M17" i="1"/>
  <c r="M16" i="1"/>
  <c r="M15" i="1"/>
  <c r="M14" i="1" s="1"/>
  <c r="M12" i="1"/>
  <c r="M11" i="1"/>
  <c r="M10" i="1"/>
  <c r="M8" i="1" s="1"/>
  <c r="M9" i="1"/>
  <c r="M6" i="1"/>
  <c r="M59" i="3"/>
  <c r="M55" i="3"/>
  <c r="M49" i="3"/>
  <c r="M42" i="3"/>
  <c r="M37" i="3"/>
  <c r="M30" i="3"/>
  <c r="M23" i="3"/>
  <c r="M18" i="3"/>
  <c r="M13" i="3"/>
  <c r="M7" i="3"/>
  <c r="M81" i="2"/>
  <c r="M76" i="2"/>
  <c r="M67" i="2"/>
  <c r="M62" i="2"/>
  <c r="M53" i="2"/>
  <c r="M43" i="2"/>
  <c r="M36" i="2"/>
  <c r="M31" i="2"/>
  <c r="M25" i="2"/>
  <c r="M20" i="2"/>
  <c r="M6" i="2"/>
  <c r="L66" i="1"/>
  <c r="L65" i="1"/>
  <c r="L64" i="1"/>
  <c r="L63" i="1"/>
  <c r="L60" i="1"/>
  <c r="L59" i="1"/>
  <c r="L58" i="1" s="1"/>
  <c r="L56" i="1"/>
  <c r="L55" i="1"/>
  <c r="L54" i="1"/>
  <c r="L53" i="1"/>
  <c r="L52" i="1" s="1"/>
  <c r="L50" i="1"/>
  <c r="L49" i="1"/>
  <c r="L48" i="1"/>
  <c r="L47" i="1"/>
  <c r="L46" i="1"/>
  <c r="L45" i="1"/>
  <c r="L42" i="1"/>
  <c r="L41" i="1"/>
  <c r="L40" i="1"/>
  <c r="L37" i="1"/>
  <c r="L36" i="1"/>
  <c r="L35" i="1"/>
  <c r="L34" i="1"/>
  <c r="L33" i="1"/>
  <c r="L32" i="1"/>
  <c r="L29" i="1"/>
  <c r="L28" i="1"/>
  <c r="L27" i="1"/>
  <c r="L26" i="1"/>
  <c r="L25" i="1"/>
  <c r="L22" i="1"/>
  <c r="L21" i="1"/>
  <c r="L20" i="1"/>
  <c r="L19" i="1" s="1"/>
  <c r="L17" i="1"/>
  <c r="L16" i="1"/>
  <c r="L15" i="1"/>
  <c r="L12" i="1"/>
  <c r="L11" i="1"/>
  <c r="L10" i="1"/>
  <c r="L9" i="1"/>
  <c r="L8" i="1"/>
  <c r="L6" i="1"/>
  <c r="L59" i="3"/>
  <c r="L55" i="3"/>
  <c r="L49" i="3"/>
  <c r="L42" i="3"/>
  <c r="L37" i="3"/>
  <c r="L30" i="3"/>
  <c r="L23" i="3"/>
  <c r="L18" i="3"/>
  <c r="L13" i="3"/>
  <c r="L7" i="3"/>
  <c r="L81" i="2"/>
  <c r="L76" i="2"/>
  <c r="L67" i="2"/>
  <c r="L62" i="2"/>
  <c r="L53" i="2"/>
  <c r="L43" i="2"/>
  <c r="L36" i="2"/>
  <c r="L31" i="2"/>
  <c r="L25" i="2"/>
  <c r="L20" i="2"/>
  <c r="L6" i="2"/>
  <c r="L24" i="1" l="1"/>
  <c r="M31" i="1"/>
  <c r="L44" i="1"/>
  <c r="L14" i="1"/>
  <c r="L5" i="1" s="1"/>
  <c r="L62" i="1"/>
  <c r="M19" i="1"/>
  <c r="M5" i="1" s="1"/>
  <c r="M62" i="1"/>
  <c r="M52" i="1"/>
  <c r="M5" i="3"/>
  <c r="M5" i="2"/>
  <c r="L5" i="2"/>
  <c r="L39" i="1"/>
  <c r="L31" i="1"/>
  <c r="L5" i="3"/>
  <c r="K66" i="1"/>
  <c r="K65" i="1"/>
  <c r="K64" i="1"/>
  <c r="K63" i="1"/>
  <c r="K60" i="1"/>
  <c r="K59" i="1"/>
  <c r="K56" i="1"/>
  <c r="K55" i="1"/>
  <c r="K54" i="1"/>
  <c r="K53" i="1"/>
  <c r="K50" i="1"/>
  <c r="K49" i="1"/>
  <c r="K48" i="1"/>
  <c r="K47" i="1"/>
  <c r="K46" i="1"/>
  <c r="K45" i="1"/>
  <c r="K42" i="1"/>
  <c r="K41" i="1"/>
  <c r="K40" i="1"/>
  <c r="K37" i="1"/>
  <c r="K36" i="1"/>
  <c r="K35" i="1"/>
  <c r="K34" i="1"/>
  <c r="K33" i="1"/>
  <c r="K32" i="1"/>
  <c r="K29" i="1"/>
  <c r="K28" i="1"/>
  <c r="K27" i="1"/>
  <c r="K26" i="1"/>
  <c r="K25" i="1"/>
  <c r="K22" i="1"/>
  <c r="K21" i="1"/>
  <c r="K20" i="1"/>
  <c r="K17" i="1"/>
  <c r="K16" i="1"/>
  <c r="K15" i="1"/>
  <c r="K12" i="1"/>
  <c r="K11" i="1"/>
  <c r="K10" i="1"/>
  <c r="K9" i="1"/>
  <c r="K6" i="1"/>
  <c r="J10" i="1"/>
  <c r="J11" i="1"/>
  <c r="J12" i="1"/>
  <c r="K59" i="3"/>
  <c r="K55" i="3"/>
  <c r="K49" i="3"/>
  <c r="K42" i="3"/>
  <c r="K37" i="3"/>
  <c r="K30" i="3"/>
  <c r="K23" i="3"/>
  <c r="K18" i="3"/>
  <c r="K13" i="3"/>
  <c r="K7" i="3"/>
  <c r="K81" i="2"/>
  <c r="K76" i="2"/>
  <c r="K67" i="2"/>
  <c r="K62" i="2"/>
  <c r="K53" i="2"/>
  <c r="K43" i="2"/>
  <c r="K36" i="2"/>
  <c r="K31" i="2"/>
  <c r="K25" i="2"/>
  <c r="K20" i="2"/>
  <c r="K6" i="2"/>
  <c r="K52" i="1" l="1"/>
  <c r="K58" i="1"/>
  <c r="K5" i="3"/>
  <c r="K24" i="1"/>
  <c r="K5" i="2"/>
  <c r="K14" i="1"/>
  <c r="K62" i="1"/>
  <c r="K39" i="1"/>
  <c r="K44" i="1"/>
  <c r="K31" i="1"/>
  <c r="K19" i="1"/>
  <c r="K8" i="1"/>
  <c r="J66" i="1"/>
  <c r="J65" i="1"/>
  <c r="J64" i="1"/>
  <c r="J63" i="1"/>
  <c r="J62" i="1" s="1"/>
  <c r="J60" i="1"/>
  <c r="J59" i="1"/>
  <c r="J58" i="1" s="1"/>
  <c r="J56" i="1"/>
  <c r="J55" i="1"/>
  <c r="J54" i="1"/>
  <c r="J53" i="1"/>
  <c r="J50" i="1"/>
  <c r="J49" i="1"/>
  <c r="J48" i="1"/>
  <c r="J47" i="1"/>
  <c r="J46" i="1"/>
  <c r="J45" i="1"/>
  <c r="J42" i="1"/>
  <c r="J41" i="1"/>
  <c r="J40" i="1"/>
  <c r="J37" i="1"/>
  <c r="J36" i="1"/>
  <c r="J35" i="1"/>
  <c r="J34" i="1"/>
  <c r="J33" i="1"/>
  <c r="J32" i="1"/>
  <c r="J29" i="1"/>
  <c r="J28" i="1"/>
  <c r="J27" i="1"/>
  <c r="J24" i="1" s="1"/>
  <c r="J26" i="1"/>
  <c r="J25" i="1"/>
  <c r="J22" i="1"/>
  <c r="J21" i="1"/>
  <c r="J20" i="1"/>
  <c r="J17" i="1"/>
  <c r="J16" i="1"/>
  <c r="J15" i="1"/>
  <c r="J14" i="1" s="1"/>
  <c r="J8" i="1"/>
  <c r="J6" i="1"/>
  <c r="I9" i="1"/>
  <c r="I10" i="1"/>
  <c r="I11" i="1"/>
  <c r="J59" i="3"/>
  <c r="J55" i="3"/>
  <c r="J49" i="3"/>
  <c r="J42" i="3"/>
  <c r="J37" i="3"/>
  <c r="J30" i="3"/>
  <c r="J23" i="3"/>
  <c r="J18" i="3"/>
  <c r="J13" i="3"/>
  <c r="J7" i="3"/>
  <c r="J81" i="2"/>
  <c r="J76" i="2"/>
  <c r="J67" i="2"/>
  <c r="J62" i="2"/>
  <c r="J53" i="2"/>
  <c r="J43" i="2"/>
  <c r="J36" i="2"/>
  <c r="J31" i="2"/>
  <c r="J25" i="2"/>
  <c r="J20" i="2"/>
  <c r="J6" i="2"/>
  <c r="I66" i="1"/>
  <c r="I65" i="1"/>
  <c r="I64" i="1"/>
  <c r="I63" i="1"/>
  <c r="I60" i="1"/>
  <c r="I59" i="1"/>
  <c r="I58" i="1" s="1"/>
  <c r="I56" i="1"/>
  <c r="I55" i="1"/>
  <c r="I54" i="1"/>
  <c r="I53" i="1"/>
  <c r="I50" i="1"/>
  <c r="I49" i="1"/>
  <c r="I48" i="1"/>
  <c r="I47" i="1"/>
  <c r="I46" i="1"/>
  <c r="I45" i="1"/>
  <c r="I42" i="1"/>
  <c r="I41" i="1"/>
  <c r="I40" i="1"/>
  <c r="I39" i="1"/>
  <c r="I37" i="1"/>
  <c r="I36" i="1"/>
  <c r="I35" i="1"/>
  <c r="I34" i="1"/>
  <c r="I33" i="1"/>
  <c r="I32" i="1"/>
  <c r="I29" i="1"/>
  <c r="I28" i="1"/>
  <c r="I27" i="1"/>
  <c r="I26" i="1"/>
  <c r="I25" i="1"/>
  <c r="I22" i="1"/>
  <c r="I21" i="1"/>
  <c r="I19" i="1"/>
  <c r="I20" i="1"/>
  <c r="I17" i="1"/>
  <c r="I16" i="1"/>
  <c r="I15" i="1"/>
  <c r="I12" i="1"/>
  <c r="I6" i="1"/>
  <c r="I59" i="3"/>
  <c r="I55" i="3"/>
  <c r="I49" i="3"/>
  <c r="I42" i="3"/>
  <c r="I37" i="3"/>
  <c r="I30" i="3"/>
  <c r="I23" i="3"/>
  <c r="I18" i="3"/>
  <c r="I13" i="3"/>
  <c r="I7" i="3"/>
  <c r="I81" i="2"/>
  <c r="I76" i="2"/>
  <c r="I67" i="2"/>
  <c r="I62" i="2"/>
  <c r="I53" i="2"/>
  <c r="I43" i="2"/>
  <c r="I36" i="2"/>
  <c r="I31" i="2"/>
  <c r="I25" i="2"/>
  <c r="I20" i="2"/>
  <c r="I6" i="2"/>
  <c r="H66" i="1"/>
  <c r="G66" i="1"/>
  <c r="F66" i="1"/>
  <c r="E66" i="1"/>
  <c r="D66" i="1"/>
  <c r="C66" i="1"/>
  <c r="B66" i="1"/>
  <c r="H65" i="1"/>
  <c r="G65" i="1"/>
  <c r="F65" i="1"/>
  <c r="E65" i="1"/>
  <c r="D65" i="1"/>
  <c r="C65" i="1"/>
  <c r="B65" i="1"/>
  <c r="H64" i="1"/>
  <c r="G64" i="1"/>
  <c r="F64" i="1"/>
  <c r="E64" i="1"/>
  <c r="D64" i="1"/>
  <c r="C64" i="1"/>
  <c r="B64" i="1"/>
  <c r="H63" i="1"/>
  <c r="G63" i="1"/>
  <c r="F63" i="1"/>
  <c r="E63" i="1"/>
  <c r="D63" i="1"/>
  <c r="C63" i="1"/>
  <c r="B63" i="1"/>
  <c r="H60" i="1"/>
  <c r="G60" i="1"/>
  <c r="F60" i="1"/>
  <c r="E60" i="1"/>
  <c r="E58" i="1" s="1"/>
  <c r="D60" i="1"/>
  <c r="C60" i="1"/>
  <c r="B60" i="1"/>
  <c r="H59" i="1"/>
  <c r="G59" i="1"/>
  <c r="F59" i="1"/>
  <c r="E59" i="1"/>
  <c r="D59" i="1"/>
  <c r="D58" i="1" s="1"/>
  <c r="C59" i="1"/>
  <c r="C58" i="1"/>
  <c r="B59" i="1"/>
  <c r="H56" i="1"/>
  <c r="G56" i="1"/>
  <c r="F56" i="1"/>
  <c r="E56" i="1"/>
  <c r="D56" i="1"/>
  <c r="C56" i="1"/>
  <c r="B56" i="1"/>
  <c r="H55" i="1"/>
  <c r="G55" i="1"/>
  <c r="F55" i="1"/>
  <c r="E55" i="1"/>
  <c r="D55" i="1"/>
  <c r="C55" i="1"/>
  <c r="B55" i="1"/>
  <c r="H54" i="1"/>
  <c r="G54" i="1"/>
  <c r="F54" i="1"/>
  <c r="E54" i="1"/>
  <c r="D54" i="1"/>
  <c r="C54" i="1"/>
  <c r="C52" i="1"/>
  <c r="B54" i="1"/>
  <c r="H53" i="1"/>
  <c r="H52" i="1" s="1"/>
  <c r="G53" i="1"/>
  <c r="F53" i="1"/>
  <c r="E53" i="1"/>
  <c r="D53" i="1"/>
  <c r="C53" i="1"/>
  <c r="B53" i="1"/>
  <c r="H50" i="1"/>
  <c r="G50" i="1"/>
  <c r="F50" i="1"/>
  <c r="E50" i="1"/>
  <c r="D50" i="1"/>
  <c r="C50" i="1"/>
  <c r="B50" i="1"/>
  <c r="H49" i="1"/>
  <c r="G49" i="1"/>
  <c r="F49" i="1"/>
  <c r="E49" i="1"/>
  <c r="D49" i="1"/>
  <c r="C49" i="1"/>
  <c r="B49" i="1"/>
  <c r="H48" i="1"/>
  <c r="G48" i="1"/>
  <c r="F48" i="1"/>
  <c r="E48" i="1"/>
  <c r="D48" i="1"/>
  <c r="C48" i="1"/>
  <c r="B48" i="1"/>
  <c r="H47" i="1"/>
  <c r="G47" i="1"/>
  <c r="F47" i="1"/>
  <c r="E47" i="1"/>
  <c r="D47" i="1"/>
  <c r="C47" i="1"/>
  <c r="B47" i="1"/>
  <c r="H46" i="1"/>
  <c r="G46" i="1"/>
  <c r="F46" i="1"/>
  <c r="E46" i="1"/>
  <c r="E44" i="1" s="1"/>
  <c r="D46" i="1"/>
  <c r="C46" i="1"/>
  <c r="B46" i="1"/>
  <c r="H45" i="1"/>
  <c r="G45" i="1"/>
  <c r="F45" i="1"/>
  <c r="E45" i="1"/>
  <c r="D45" i="1"/>
  <c r="C45" i="1"/>
  <c r="B45" i="1"/>
  <c r="B44" i="1" s="1"/>
  <c r="H42" i="1"/>
  <c r="G42" i="1"/>
  <c r="F42" i="1"/>
  <c r="E42" i="1"/>
  <c r="D42" i="1"/>
  <c r="C42" i="1"/>
  <c r="B42" i="1"/>
  <c r="H41" i="1"/>
  <c r="G41" i="1"/>
  <c r="F41" i="1"/>
  <c r="E41" i="1"/>
  <c r="D41" i="1"/>
  <c r="C41" i="1"/>
  <c r="B41" i="1"/>
  <c r="H40" i="1"/>
  <c r="G40" i="1"/>
  <c r="G39" i="1" s="1"/>
  <c r="F40" i="1"/>
  <c r="E40" i="1"/>
  <c r="D40" i="1"/>
  <c r="C40" i="1"/>
  <c r="B40" i="1"/>
  <c r="H29" i="1"/>
  <c r="G29" i="1"/>
  <c r="F29" i="1"/>
  <c r="E29" i="1"/>
  <c r="D29" i="1"/>
  <c r="C29" i="1"/>
  <c r="B29" i="1"/>
  <c r="H28" i="1"/>
  <c r="G28" i="1"/>
  <c r="F28" i="1"/>
  <c r="E28" i="1"/>
  <c r="D28" i="1"/>
  <c r="C28" i="1"/>
  <c r="B28" i="1"/>
  <c r="H27" i="1"/>
  <c r="G27" i="1"/>
  <c r="F27" i="1"/>
  <c r="E27" i="1"/>
  <c r="D27" i="1"/>
  <c r="C27" i="1"/>
  <c r="B27" i="1"/>
  <c r="H26" i="1"/>
  <c r="G26" i="1"/>
  <c r="F26" i="1"/>
  <c r="E26" i="1"/>
  <c r="D26" i="1"/>
  <c r="C26" i="1"/>
  <c r="B26" i="1"/>
  <c r="H25" i="1"/>
  <c r="G25" i="1"/>
  <c r="F25" i="1"/>
  <c r="E25" i="1"/>
  <c r="D25" i="1"/>
  <c r="C25" i="1"/>
  <c r="B25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D14" i="1" s="1"/>
  <c r="C15" i="1"/>
  <c r="B15" i="1"/>
  <c r="H12" i="1"/>
  <c r="G12" i="1"/>
  <c r="G8" i="1" s="1"/>
  <c r="F12" i="1"/>
  <c r="E12" i="1"/>
  <c r="D12" i="1"/>
  <c r="C12" i="1"/>
  <c r="B12" i="1"/>
  <c r="H11" i="1"/>
  <c r="G11" i="1"/>
  <c r="F11" i="1"/>
  <c r="E11" i="1"/>
  <c r="E8" i="1" s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59" i="3"/>
  <c r="H55" i="3"/>
  <c r="H49" i="3"/>
  <c r="H42" i="3"/>
  <c r="H37" i="3"/>
  <c r="H30" i="3"/>
  <c r="H23" i="3"/>
  <c r="H18" i="3"/>
  <c r="H13" i="3"/>
  <c r="H7" i="3"/>
  <c r="H81" i="2"/>
  <c r="H76" i="2"/>
  <c r="H67" i="2"/>
  <c r="H62" i="2"/>
  <c r="H53" i="2"/>
  <c r="H43" i="2"/>
  <c r="H36" i="2"/>
  <c r="H31" i="2"/>
  <c r="H25" i="2"/>
  <c r="H20" i="2"/>
  <c r="H6" i="2"/>
  <c r="H6" i="1"/>
  <c r="G6" i="1"/>
  <c r="G59" i="3"/>
  <c r="G55" i="3"/>
  <c r="G49" i="3"/>
  <c r="G42" i="3"/>
  <c r="G37" i="3"/>
  <c r="G30" i="3"/>
  <c r="G23" i="3"/>
  <c r="G18" i="3"/>
  <c r="G13" i="3"/>
  <c r="G7" i="3"/>
  <c r="G81" i="2"/>
  <c r="G76" i="2"/>
  <c r="G67" i="2"/>
  <c r="G62" i="2"/>
  <c r="G53" i="2"/>
  <c r="G43" i="2"/>
  <c r="G36" i="2"/>
  <c r="G31" i="2"/>
  <c r="G25" i="2"/>
  <c r="G20" i="2"/>
  <c r="G6" i="2"/>
  <c r="F59" i="3"/>
  <c r="F55" i="3"/>
  <c r="F49" i="3"/>
  <c r="F42" i="3"/>
  <c r="F37" i="3"/>
  <c r="F30" i="3"/>
  <c r="F23" i="3"/>
  <c r="F18" i="3"/>
  <c r="F13" i="3"/>
  <c r="F7" i="3"/>
  <c r="F81" i="2"/>
  <c r="F76" i="2"/>
  <c r="F67" i="2"/>
  <c r="F62" i="2"/>
  <c r="F53" i="2"/>
  <c r="F43" i="2"/>
  <c r="F36" i="2"/>
  <c r="F31" i="2"/>
  <c r="F25" i="2"/>
  <c r="F20" i="2"/>
  <c r="F6" i="2"/>
  <c r="F6" i="1" s="1"/>
  <c r="E59" i="3"/>
  <c r="E55" i="3"/>
  <c r="E49" i="3"/>
  <c r="E42" i="3"/>
  <c r="E37" i="3"/>
  <c r="E30" i="3"/>
  <c r="E23" i="3"/>
  <c r="E18" i="3"/>
  <c r="E13" i="3"/>
  <c r="E7" i="3"/>
  <c r="E81" i="2"/>
  <c r="E76" i="2"/>
  <c r="E67" i="2"/>
  <c r="E62" i="2"/>
  <c r="E53" i="2"/>
  <c r="E43" i="2"/>
  <c r="E36" i="2"/>
  <c r="E31" i="2"/>
  <c r="E25" i="2"/>
  <c r="E20" i="2"/>
  <c r="E6" i="2"/>
  <c r="E6" i="1"/>
  <c r="C6" i="2"/>
  <c r="C6" i="1" s="1"/>
  <c r="D6" i="2"/>
  <c r="D6" i="1"/>
  <c r="B6" i="2"/>
  <c r="B6" i="1" s="1"/>
  <c r="C62" i="2"/>
  <c r="D62" i="2"/>
  <c r="D67" i="2"/>
  <c r="B59" i="3"/>
  <c r="B55" i="3"/>
  <c r="B49" i="3"/>
  <c r="B42" i="3"/>
  <c r="B37" i="3"/>
  <c r="B30" i="3"/>
  <c r="B23" i="3"/>
  <c r="B18" i="3"/>
  <c r="B13" i="3"/>
  <c r="B7" i="3"/>
  <c r="B20" i="2"/>
  <c r="B25" i="2"/>
  <c r="B31" i="2"/>
  <c r="B36" i="2"/>
  <c r="B43" i="2"/>
  <c r="B53" i="2"/>
  <c r="B62" i="2"/>
  <c r="B67" i="2"/>
  <c r="B76" i="2"/>
  <c r="B81" i="2"/>
  <c r="C81" i="2"/>
  <c r="C76" i="2"/>
  <c r="C67" i="2"/>
  <c r="C53" i="2"/>
  <c r="C43" i="2"/>
  <c r="C36" i="2"/>
  <c r="C31" i="2"/>
  <c r="C25" i="2"/>
  <c r="C20" i="2"/>
  <c r="D59" i="3"/>
  <c r="D55" i="3"/>
  <c r="D49" i="3"/>
  <c r="D7" i="3"/>
  <c r="D13" i="3"/>
  <c r="D18" i="3"/>
  <c r="D23" i="3"/>
  <c r="D30" i="3"/>
  <c r="D37" i="3"/>
  <c r="D42" i="3"/>
  <c r="C30" i="3"/>
  <c r="C7" i="3"/>
  <c r="C13" i="3"/>
  <c r="C18" i="3"/>
  <c r="C23" i="3"/>
  <c r="C37" i="3"/>
  <c r="C42" i="3"/>
  <c r="C49" i="3"/>
  <c r="C55" i="3"/>
  <c r="C59" i="3"/>
  <c r="G31" i="1"/>
  <c r="C31" i="1"/>
  <c r="E31" i="1"/>
  <c r="H31" i="1"/>
  <c r="B31" i="1"/>
  <c r="D31" i="1"/>
  <c r="F31" i="1"/>
  <c r="H39" i="1"/>
  <c r="E24" i="1" l="1"/>
  <c r="H44" i="1"/>
  <c r="J39" i="1"/>
  <c r="J5" i="3"/>
  <c r="H14" i="1"/>
  <c r="G24" i="1"/>
  <c r="C39" i="1"/>
  <c r="F58" i="1"/>
  <c r="I62" i="1"/>
  <c r="J52" i="1"/>
  <c r="F8" i="1"/>
  <c r="D39" i="1"/>
  <c r="G44" i="1"/>
  <c r="E52" i="1"/>
  <c r="C14" i="1"/>
  <c r="E19" i="1"/>
  <c r="F19" i="1"/>
  <c r="E39" i="1"/>
  <c r="F39" i="1"/>
  <c r="H58" i="1"/>
  <c r="E62" i="1"/>
  <c r="J44" i="1"/>
  <c r="H5" i="3"/>
  <c r="B8" i="1"/>
  <c r="G19" i="1"/>
  <c r="D44" i="1"/>
  <c r="G52" i="1"/>
  <c r="I44" i="1"/>
  <c r="D8" i="1"/>
  <c r="E14" i="1"/>
  <c r="E5" i="1" s="1"/>
  <c r="H19" i="1"/>
  <c r="C24" i="1"/>
  <c r="B39" i="1"/>
  <c r="I14" i="1"/>
  <c r="E5" i="3"/>
  <c r="D52" i="1"/>
  <c r="G58" i="1"/>
  <c r="D62" i="1"/>
  <c r="E5" i="2"/>
  <c r="G5" i="2"/>
  <c r="G62" i="1"/>
  <c r="C5" i="3"/>
  <c r="F14" i="1"/>
  <c r="F52" i="1"/>
  <c r="I5" i="3"/>
  <c r="C44" i="1"/>
  <c r="F62" i="1"/>
  <c r="J19" i="1"/>
  <c r="F24" i="1"/>
  <c r="C8" i="1"/>
  <c r="G14" i="1"/>
  <c r="I5" i="2"/>
  <c r="I31" i="1"/>
  <c r="B5" i="3"/>
  <c r="D24" i="1"/>
  <c r="B5" i="2"/>
  <c r="D5" i="3"/>
  <c r="B58" i="1"/>
  <c r="H62" i="1"/>
  <c r="I8" i="1"/>
  <c r="I5" i="1" s="1"/>
  <c r="H5" i="2"/>
  <c r="B14" i="1"/>
  <c r="B24" i="1"/>
  <c r="B52" i="1"/>
  <c r="C62" i="1"/>
  <c r="I52" i="1"/>
  <c r="G5" i="3"/>
  <c r="H24" i="1"/>
  <c r="B19" i="1"/>
  <c r="D19" i="1"/>
  <c r="F44" i="1"/>
  <c r="I24" i="1"/>
  <c r="J5" i="2"/>
  <c r="F5" i="2"/>
  <c r="F5" i="3"/>
  <c r="H8" i="1"/>
  <c r="C19" i="1"/>
  <c r="B62" i="1"/>
  <c r="J31" i="1"/>
  <c r="J5" i="1" s="1"/>
  <c r="K5" i="1"/>
  <c r="D5" i="1" l="1"/>
  <c r="B5" i="1"/>
  <c r="G5" i="1"/>
  <c r="H5" i="1"/>
  <c r="C5" i="1"/>
  <c r="F5" i="1"/>
</calcChain>
</file>

<file path=xl/sharedStrings.xml><?xml version="1.0" encoding="utf-8"?>
<sst xmlns="http://schemas.openxmlformats.org/spreadsheetml/2006/main" count="194" uniqueCount="127">
  <si>
    <t>Marz, district</t>
  </si>
  <si>
    <t>Republic of Armenia</t>
  </si>
  <si>
    <t>Aragatsotn Marz</t>
  </si>
  <si>
    <t>Ashtarak district</t>
  </si>
  <si>
    <t>Aparan district</t>
  </si>
  <si>
    <t xml:space="preserve">Aragats district </t>
  </si>
  <si>
    <t>Talin district</t>
  </si>
  <si>
    <t>Ararat marz</t>
  </si>
  <si>
    <t>Artashat district</t>
  </si>
  <si>
    <t>Ararat district</t>
  </si>
  <si>
    <t>Masis district</t>
  </si>
  <si>
    <t>Armavir Marz</t>
  </si>
  <si>
    <t>Armavir district</t>
  </si>
  <si>
    <t xml:space="preserve">Baghramyan district </t>
  </si>
  <si>
    <t>Echmiatsin district</t>
  </si>
  <si>
    <t>Gegarkunik Marz</t>
  </si>
  <si>
    <t>Gavar district</t>
  </si>
  <si>
    <t>Chambarak district</t>
  </si>
  <si>
    <t>Martuni district</t>
  </si>
  <si>
    <t>Sevan district</t>
  </si>
  <si>
    <t>Vardenis district</t>
  </si>
  <si>
    <t>Lori Marz</t>
  </si>
  <si>
    <t xml:space="preserve">Gugarq district </t>
  </si>
  <si>
    <t>Tumanyan district</t>
  </si>
  <si>
    <t>Spitak district</t>
  </si>
  <si>
    <t>Stepanavan district</t>
  </si>
  <si>
    <t>Tashir district</t>
  </si>
  <si>
    <t>Kotayk Marz</t>
  </si>
  <si>
    <t>Hrazdan district</t>
  </si>
  <si>
    <t>Kotayk district</t>
  </si>
  <si>
    <t>Nairi district</t>
  </si>
  <si>
    <t>Shirak Marz</t>
  </si>
  <si>
    <t xml:space="preserve">Akhuryan district </t>
  </si>
  <si>
    <t xml:space="preserve">Amasia district </t>
  </si>
  <si>
    <t xml:space="preserve">Ashotsk district </t>
  </si>
  <si>
    <t>Ani district</t>
  </si>
  <si>
    <t>Artik district</t>
  </si>
  <si>
    <t>Syunik marz</t>
  </si>
  <si>
    <t>Kapan district</t>
  </si>
  <si>
    <t>Goris district</t>
  </si>
  <si>
    <t>Meghri district</t>
  </si>
  <si>
    <t>Sisian district</t>
  </si>
  <si>
    <t>Vayots  Dzor Marz</t>
  </si>
  <si>
    <t>Yeghegnadzor district</t>
  </si>
  <si>
    <t>Vayk district</t>
  </si>
  <si>
    <t>Tavush Marz</t>
  </si>
  <si>
    <t>Ijevan district</t>
  </si>
  <si>
    <t>Rural population of Dilijan community</t>
  </si>
  <si>
    <t>Noyemberyan district</t>
  </si>
  <si>
    <t>Taush distruct</t>
  </si>
  <si>
    <t>RURAL  POPULATION</t>
  </si>
  <si>
    <t>URBAN POPULATION</t>
  </si>
  <si>
    <t>Marz, district, city/town, administrative districts</t>
  </si>
  <si>
    <t>city Yerevan</t>
  </si>
  <si>
    <t>Ajapnyak</t>
  </si>
  <si>
    <t>Avan</t>
  </si>
  <si>
    <t>Arabkir</t>
  </si>
  <si>
    <t>Davitashen</t>
  </si>
  <si>
    <t>Erebuni</t>
  </si>
  <si>
    <t>Kentron</t>
  </si>
  <si>
    <t>Malatia-Sebastia</t>
  </si>
  <si>
    <t>Nor-Nork</t>
  </si>
  <si>
    <t>Nork-Marash</t>
  </si>
  <si>
    <t>Nubarashen</t>
  </si>
  <si>
    <t>Shengavit</t>
  </si>
  <si>
    <t>Qanaqer-Zeytun</t>
  </si>
  <si>
    <t>t.Ashtarak (Marz Center)</t>
  </si>
  <si>
    <t>t.Aparan</t>
  </si>
  <si>
    <t>t.Talin</t>
  </si>
  <si>
    <t>t.Artashat(Marz Center)</t>
  </si>
  <si>
    <t>t.Ararat</t>
  </si>
  <si>
    <t>t.Vedi</t>
  </si>
  <si>
    <t>t.Masis</t>
  </si>
  <si>
    <t>t.Armavir (Marz Center)</t>
  </si>
  <si>
    <t>t.Metsamor</t>
  </si>
  <si>
    <t>c.Vagharshaapat</t>
  </si>
  <si>
    <t>t.Gavar (Marz Center)</t>
  </si>
  <si>
    <t>t.Chambarak</t>
  </si>
  <si>
    <t>t.Martuni</t>
  </si>
  <si>
    <t>t.Sevan</t>
  </si>
  <si>
    <t>t.Vardenis</t>
  </si>
  <si>
    <t>c.Vanadzor (Marz Center)</t>
  </si>
  <si>
    <t>t.Alaverdi</t>
  </si>
  <si>
    <t>t.Akhtala</t>
  </si>
  <si>
    <t>t.Tumanyan</t>
  </si>
  <si>
    <t>t.Shamlugh</t>
  </si>
  <si>
    <t>t.Spitak</t>
  </si>
  <si>
    <t>t.Stepanavan</t>
  </si>
  <si>
    <t>t.Tashir</t>
  </si>
  <si>
    <t>c.Hrazdan (Marz Center)</t>
  </si>
  <si>
    <t>t.Charentsavan</t>
  </si>
  <si>
    <t>t.Tsakhkadzor</t>
  </si>
  <si>
    <t>c.Abovyan</t>
  </si>
  <si>
    <t>t.Byureghavan</t>
  </si>
  <si>
    <t>t.Yeghvard</t>
  </si>
  <si>
    <t>t.Nor Hadjn</t>
  </si>
  <si>
    <t>c.Gyumri (Marz Center)</t>
  </si>
  <si>
    <t>t.Maralik</t>
  </si>
  <si>
    <t>t.Artiik</t>
  </si>
  <si>
    <t>t.Kapan (Marz Center)</t>
  </si>
  <si>
    <t>t.Qadjaran</t>
  </si>
  <si>
    <t>t.Goris</t>
  </si>
  <si>
    <t>t.Meghri</t>
  </si>
  <si>
    <t>t.Agarak</t>
  </si>
  <si>
    <t>t.Sisian</t>
  </si>
  <si>
    <t>t.Dastakert</t>
  </si>
  <si>
    <t>t.Yeghegnadzor (Marz Center)</t>
  </si>
  <si>
    <t>t.Vayk</t>
  </si>
  <si>
    <t>t.Jermuk</t>
  </si>
  <si>
    <t>t.Ijevan (Marz Center)</t>
  </si>
  <si>
    <t>t.Dilijan</t>
  </si>
  <si>
    <t>t.Noyemberyan</t>
  </si>
  <si>
    <t>t.Ayrum</t>
  </si>
  <si>
    <t>t.Berd</t>
  </si>
  <si>
    <t>TOTAL POPULATION</t>
  </si>
  <si>
    <t>City Yerevan</t>
  </si>
  <si>
    <t xml:space="preserve">    c.Vanadzor (Marz Center)</t>
  </si>
  <si>
    <t xml:space="preserve">Gugark district </t>
  </si>
  <si>
    <t xml:space="preserve">    c.Gyumri (Marz Center)</t>
  </si>
  <si>
    <t>t.Dilijan (+v.Gosh+v.Teghut+v.Haghartsin)</t>
  </si>
  <si>
    <r>
      <t xml:space="preserve">De jure Population number </t>
    </r>
    <r>
      <rPr>
        <b/>
        <vertAlign val="superscript"/>
        <sz val="12"/>
        <color indexed="8"/>
        <rFont val="Sylfaen"/>
        <family val="1"/>
      </rPr>
      <t>1</t>
    </r>
    <r>
      <rPr>
        <b/>
        <sz val="12"/>
        <color indexed="8"/>
        <rFont val="Sylfaen"/>
        <family val="1"/>
        <charset val="204"/>
      </rPr>
      <t xml:space="preserve"> of the Republic of Armenia,  as of 1 January </t>
    </r>
  </si>
  <si>
    <r>
      <t xml:space="preserve">2011 </t>
    </r>
    <r>
      <rPr>
        <vertAlign val="superscript"/>
        <sz val="10"/>
        <rFont val="Sylfaen"/>
        <family val="1"/>
      </rPr>
      <t>2</t>
    </r>
  </si>
  <si>
    <r>
      <t xml:space="preserve">1 </t>
    </r>
    <r>
      <rPr>
        <sz val="12"/>
        <rFont val="Sylfaen"/>
        <family val="1"/>
      </rPr>
      <t>C</t>
    </r>
    <r>
      <rPr>
        <sz val="10"/>
        <rFont val="Sylfaen"/>
        <family val="1"/>
      </rPr>
      <t>alculated  based on the results of RA 2011 Population Census.</t>
    </r>
  </si>
  <si>
    <r>
      <t xml:space="preserve">2 </t>
    </r>
    <r>
      <rPr>
        <sz val="10"/>
        <rFont val="Sylfaen"/>
        <family val="1"/>
      </rPr>
      <t>By the results of RA 2011 Population census, conducted as of 12 October.</t>
    </r>
  </si>
  <si>
    <r>
      <t>De jure Population number</t>
    </r>
    <r>
      <rPr>
        <b/>
        <vertAlign val="superscript"/>
        <sz val="12"/>
        <color indexed="8"/>
        <rFont val="Sylfaen"/>
        <family val="1"/>
      </rPr>
      <t>1</t>
    </r>
    <r>
      <rPr>
        <b/>
        <sz val="12"/>
        <color indexed="8"/>
        <rFont val="Sylfaen"/>
        <family val="1"/>
        <charset val="204"/>
      </rPr>
      <t xml:space="preserve"> of the Republic of Armenia,  as of 1 January </t>
    </r>
  </si>
  <si>
    <t>/person/</t>
  </si>
  <si>
    <t>Gegharkunik Marz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</si>
</sst>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5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2"/>
      <color indexed="8"/>
      <name val="Sylfaen"/>
      <family val="1"/>
      <charset val="204"/>
    </font>
    <font>
      <sz val="11"/>
      <color indexed="8"/>
      <name val="Sylfaen"/>
      <family val="1"/>
      <charset val="204"/>
    </font>
    <font>
      <b/>
      <sz val="12"/>
      <name val="Sylfaen"/>
      <family val="1"/>
      <charset val="204"/>
    </font>
    <font>
      <sz val="11"/>
      <name val="Sylfaen"/>
      <family val="1"/>
      <charset val="204"/>
    </font>
    <font>
      <sz val="10"/>
      <name val="Sylfaen"/>
      <family val="1"/>
      <charset val="204"/>
    </font>
    <font>
      <sz val="10"/>
      <color indexed="10"/>
      <name val="Sylfaen"/>
      <family val="1"/>
      <charset val="204"/>
    </font>
    <font>
      <sz val="11"/>
      <color indexed="12"/>
      <name val="Sylfaen"/>
      <family val="1"/>
      <charset val="204"/>
    </font>
    <font>
      <sz val="9"/>
      <name val="Sylfaen"/>
      <family val="1"/>
      <charset val="204"/>
    </font>
    <font>
      <sz val="10"/>
      <color indexed="12"/>
      <name val="Sylfaen"/>
      <family val="1"/>
      <charset val="204"/>
    </font>
    <font>
      <sz val="10"/>
      <color indexed="14"/>
      <name val="Sylfaen"/>
      <family val="1"/>
      <charset val="204"/>
    </font>
    <font>
      <i/>
      <sz val="9"/>
      <name val="Sylfaen"/>
      <family val="1"/>
      <charset val="204"/>
    </font>
    <font>
      <b/>
      <sz val="11"/>
      <name val="Sylfaen"/>
      <family val="1"/>
      <charset val="204"/>
    </font>
    <font>
      <i/>
      <sz val="10"/>
      <name val="Sylfaen"/>
      <family val="1"/>
      <charset val="204"/>
    </font>
    <font>
      <b/>
      <sz val="10"/>
      <color indexed="10"/>
      <name val="Sylfaen"/>
      <family val="1"/>
      <charset val="204"/>
    </font>
    <font>
      <sz val="12"/>
      <name val="Sylfaen"/>
      <family val="1"/>
      <charset val="204"/>
    </font>
    <font>
      <i/>
      <sz val="12"/>
      <name val="Sylfaen"/>
      <family val="1"/>
      <charset val="204"/>
    </font>
    <font>
      <sz val="12"/>
      <color indexed="8"/>
      <name val="Sylfaen"/>
      <family val="1"/>
      <charset val="204"/>
    </font>
    <font>
      <sz val="10"/>
      <name val="Sylfaen"/>
      <family val="1"/>
    </font>
    <font>
      <sz val="12"/>
      <name val="Sylfaen"/>
      <family val="1"/>
    </font>
    <font>
      <b/>
      <sz val="11"/>
      <name val="Sylfaen"/>
      <family val="1"/>
    </font>
    <font>
      <vertAlign val="superscript"/>
      <sz val="10"/>
      <name val="Sylfaen"/>
      <family val="1"/>
    </font>
    <font>
      <vertAlign val="superscript"/>
      <sz val="9"/>
      <name val="Sylfaen"/>
      <family val="1"/>
    </font>
    <font>
      <b/>
      <u/>
      <sz val="11"/>
      <name val="Sylfaen"/>
      <family val="1"/>
    </font>
    <font>
      <sz val="11"/>
      <name val="Sylfaen"/>
      <family val="1"/>
    </font>
    <font>
      <b/>
      <u/>
      <sz val="11"/>
      <name val="Sylfaen"/>
      <family val="1"/>
      <charset val="204"/>
    </font>
    <font>
      <b/>
      <sz val="12"/>
      <color indexed="10"/>
      <name val="Sylfaen"/>
      <family val="1"/>
      <charset val="204"/>
    </font>
    <font>
      <b/>
      <sz val="10"/>
      <name val="Arial"/>
      <family val="2"/>
      <charset val="204"/>
    </font>
    <font>
      <i/>
      <sz val="10"/>
      <name val="Arial"/>
      <family val="2"/>
      <charset val="204"/>
    </font>
    <font>
      <i/>
      <sz val="10"/>
      <name val="Arial Armenian"/>
      <family val="2"/>
    </font>
    <font>
      <b/>
      <sz val="10"/>
      <name val="Arial Armenian"/>
      <family val="2"/>
    </font>
    <font>
      <sz val="10"/>
      <name val="Arial Armenian"/>
      <family val="2"/>
    </font>
    <font>
      <b/>
      <vertAlign val="superscript"/>
      <sz val="12"/>
      <name val="Sylfaen"/>
      <family val="1"/>
      <charset val="204"/>
    </font>
    <font>
      <b/>
      <sz val="12"/>
      <name val="Sylfaen"/>
      <family val="1"/>
    </font>
    <font>
      <b/>
      <sz val="9"/>
      <name val="Sylfaen"/>
      <family val="1"/>
    </font>
    <font>
      <sz val="8"/>
      <name val="Arial"/>
      <family val="2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i/>
      <sz val="11"/>
      <name val="Arial"/>
      <family val="2"/>
      <charset val="204"/>
    </font>
    <font>
      <i/>
      <sz val="11"/>
      <name val="Arial"/>
      <family val="2"/>
    </font>
    <font>
      <i/>
      <sz val="11"/>
      <name val="Arial Armenian"/>
      <family val="2"/>
    </font>
    <font>
      <b/>
      <sz val="12"/>
      <name val="Arial Armenian"/>
      <family val="2"/>
    </font>
    <font>
      <vertAlign val="superscript"/>
      <sz val="10"/>
      <name val="Sylfaen"/>
      <family val="1"/>
      <charset val="204"/>
    </font>
    <font>
      <i/>
      <sz val="11"/>
      <name val="Sylfaen"/>
      <family val="1"/>
      <charset val="204"/>
    </font>
    <font>
      <b/>
      <vertAlign val="superscript"/>
      <sz val="12"/>
      <color indexed="8"/>
      <name val="Sylfaen"/>
      <family val="1"/>
    </font>
    <font>
      <sz val="12"/>
      <color theme="1"/>
      <name val="Sylfaen"/>
      <family val="1"/>
      <charset val="204"/>
    </font>
    <font>
      <sz val="10"/>
      <color theme="1"/>
      <name val="Sylfaen"/>
      <family val="1"/>
      <charset val="204"/>
    </font>
    <font>
      <b/>
      <sz val="12"/>
      <color theme="1"/>
      <name val="Sylfaen"/>
      <family val="1"/>
      <charset val="204"/>
    </font>
    <font>
      <sz val="11"/>
      <color theme="1"/>
      <name val="Sylfaen"/>
      <family val="1"/>
      <charset val="204"/>
    </font>
    <font>
      <sz val="10"/>
      <color theme="1"/>
      <name val="Arial Armeni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6" fillId="0" borderId="0" xfId="0" applyFont="1" applyAlignment="1">
      <alignment vertical="top" wrapText="1"/>
    </xf>
    <xf numFmtId="0" fontId="7" fillId="0" borderId="0" xfId="0" applyFont="1"/>
    <xf numFmtId="165" fontId="7" fillId="0" borderId="0" xfId="0" applyNumberFormat="1" applyFont="1"/>
    <xf numFmtId="0" fontId="8" fillId="0" borderId="0" xfId="0" applyFont="1"/>
    <xf numFmtId="0" fontId="9" fillId="0" borderId="0" xfId="0" applyFont="1" applyAlignment="1">
      <alignment vertical="top"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165" fontId="10" fillId="0" borderId="0" xfId="0" applyNumberFormat="1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7" fillId="0" borderId="0" xfId="0" applyFont="1" applyAlignment="1">
      <alignment horizontal="right"/>
    </xf>
    <xf numFmtId="0" fontId="3" fillId="0" borderId="0" xfId="0" applyFont="1"/>
    <xf numFmtId="0" fontId="7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/>
    <xf numFmtId="0" fontId="23" fillId="0" borderId="0" xfId="0" applyFont="1"/>
    <xf numFmtId="0" fontId="3" fillId="0" borderId="0" xfId="0" applyFont="1" applyAlignment="1">
      <alignment horizontal="left"/>
    </xf>
    <xf numFmtId="0" fontId="25" fillId="0" borderId="0" xfId="0" applyFont="1"/>
    <xf numFmtId="0" fontId="26" fillId="0" borderId="0" xfId="0" applyFont="1"/>
    <xf numFmtId="0" fontId="20" fillId="0" borderId="1" xfId="0" applyFont="1" applyBorder="1" applyAlignment="1">
      <alignment horizontal="center"/>
    </xf>
    <xf numFmtId="0" fontId="0" fillId="0" borderId="1" xfId="0" applyBorder="1"/>
    <xf numFmtId="0" fontId="34" fillId="0" borderId="0" xfId="0" applyFont="1" applyAlignment="1">
      <alignment horizontal="left"/>
    </xf>
    <xf numFmtId="0" fontId="37" fillId="0" borderId="1" xfId="0" applyFont="1" applyBorder="1"/>
    <xf numFmtId="0" fontId="26" fillId="0" borderId="2" xfId="0" applyFont="1" applyBorder="1"/>
    <xf numFmtId="0" fontId="26" fillId="0" borderId="2" xfId="0" applyFont="1" applyBorder="1" applyAlignment="1">
      <alignment horizontal="right"/>
    </xf>
    <xf numFmtId="0" fontId="20" fillId="0" borderId="1" xfId="0" applyFont="1" applyBorder="1" applyAlignment="1">
      <alignment horizontal="center" vertical="center"/>
    </xf>
    <xf numFmtId="0" fontId="36" fillId="0" borderId="2" xfId="0" applyFont="1" applyBorder="1" applyAlignment="1">
      <alignment horizontal="right"/>
    </xf>
    <xf numFmtId="0" fontId="7" fillId="0" borderId="1" xfId="0" applyFont="1" applyBorder="1"/>
    <xf numFmtId="0" fontId="13" fillId="0" borderId="0" xfId="0" applyFont="1" applyAlignment="1">
      <alignment horizontal="right"/>
    </xf>
    <xf numFmtId="0" fontId="44" fillId="0" borderId="0" xfId="0" applyFont="1"/>
    <xf numFmtId="0" fontId="6" fillId="0" borderId="0" xfId="0" applyFont="1"/>
    <xf numFmtId="0" fontId="45" fillId="0" borderId="0" xfId="0" applyFont="1" applyAlignment="1">
      <alignment horizontal="right"/>
    </xf>
    <xf numFmtId="0" fontId="7" fillId="0" borderId="1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21" fillId="0" borderId="0" xfId="0" applyFont="1"/>
    <xf numFmtId="0" fontId="20" fillId="0" borderId="3" xfId="0" applyFont="1" applyBorder="1" applyAlignment="1">
      <alignment horizontal="center" vertical="center"/>
    </xf>
    <xf numFmtId="0" fontId="48" fillId="0" borderId="0" xfId="0" applyFont="1"/>
    <xf numFmtId="0" fontId="48" fillId="0" borderId="1" xfId="0" applyFont="1" applyBorder="1" applyAlignment="1">
      <alignment horizontal="center"/>
    </xf>
    <xf numFmtId="0" fontId="7" fillId="0" borderId="1" xfId="0" applyFont="1" applyBorder="1" applyAlignment="1">
      <alignment horizontal="right"/>
    </xf>
    <xf numFmtId="0" fontId="38" fillId="0" borderId="1" xfId="0" applyFont="1" applyBorder="1"/>
    <xf numFmtId="1" fontId="5" fillId="0" borderId="1" xfId="0" applyNumberFormat="1" applyFont="1" applyBorder="1"/>
    <xf numFmtId="0" fontId="39" fillId="0" borderId="1" xfId="0" applyFont="1" applyBorder="1"/>
    <xf numFmtId="0" fontId="5" fillId="0" borderId="1" xfId="0" applyFont="1" applyBorder="1"/>
    <xf numFmtId="0" fontId="40" fillId="0" borderId="1" xfId="0" applyFont="1" applyBorder="1"/>
    <xf numFmtId="1" fontId="15" fillId="0" borderId="1" xfId="0" applyNumberFormat="1" applyFont="1" applyBorder="1"/>
    <xf numFmtId="1" fontId="45" fillId="0" borderId="1" xfId="0" applyNumberFormat="1" applyFont="1" applyBorder="1"/>
    <xf numFmtId="0" fontId="41" fillId="0" borderId="1" xfId="0" applyFont="1" applyBorder="1"/>
    <xf numFmtId="1" fontId="18" fillId="0" borderId="1" xfId="0" applyNumberFormat="1" applyFont="1" applyBorder="1"/>
    <xf numFmtId="0" fontId="18" fillId="0" borderId="1" xfId="0" applyFont="1" applyBorder="1"/>
    <xf numFmtId="0" fontId="17" fillId="0" borderId="1" xfId="0" applyFont="1" applyBorder="1"/>
    <xf numFmtId="1" fontId="17" fillId="0" borderId="1" xfId="0" applyNumberFormat="1" applyFont="1" applyBorder="1"/>
    <xf numFmtId="0" fontId="42" fillId="0" borderId="1" xfId="0" applyFont="1" applyBorder="1"/>
    <xf numFmtId="0" fontId="43" fillId="0" borderId="1" xfId="0" applyFont="1" applyBorder="1"/>
    <xf numFmtId="0" fontId="33" fillId="0" borderId="1" xfId="0" applyFont="1" applyBorder="1"/>
    <xf numFmtId="0" fontId="31" fillId="0" borderId="1" xfId="0" applyFont="1" applyBorder="1"/>
    <xf numFmtId="164" fontId="17" fillId="0" borderId="1" xfId="0" applyNumberFormat="1" applyFont="1" applyBorder="1"/>
    <xf numFmtId="0" fontId="29" fillId="0" borderId="1" xfId="0" applyFont="1" applyBorder="1"/>
    <xf numFmtId="0" fontId="5" fillId="0" borderId="1" xfId="0" applyFont="1" applyBorder="1" applyAlignment="1">
      <alignment vertical="top" wrapText="1"/>
    </xf>
    <xf numFmtId="1" fontId="14" fillId="0" borderId="1" xfId="0" applyNumberFormat="1" applyFont="1" applyBorder="1"/>
    <xf numFmtId="1" fontId="49" fillId="0" borderId="1" xfId="0" applyNumberFormat="1" applyFont="1" applyBorder="1"/>
    <xf numFmtId="0" fontId="5" fillId="0" borderId="1" xfId="0" applyFont="1" applyBorder="1" applyAlignment="1">
      <alignment wrapText="1"/>
    </xf>
    <xf numFmtId="0" fontId="35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49" fillId="0" borderId="1" xfId="0" applyFont="1" applyBorder="1" applyAlignment="1">
      <alignment wrapText="1"/>
    </xf>
    <xf numFmtId="0" fontId="6" fillId="0" borderId="1" xfId="0" applyFont="1" applyBorder="1" applyAlignment="1">
      <alignment horizontal="left" indent="3"/>
    </xf>
    <xf numFmtId="0" fontId="21" fillId="0" borderId="1" xfId="0" applyFont="1" applyBorder="1" applyAlignment="1">
      <alignment wrapText="1"/>
    </xf>
    <xf numFmtId="0" fontId="19" fillId="0" borderId="1" xfId="0" applyFont="1" applyBorder="1" applyAlignment="1">
      <alignment vertical="top" wrapText="1"/>
    </xf>
    <xf numFmtId="0" fontId="47" fillId="0" borderId="1" xfId="0" applyFont="1" applyBorder="1" applyAlignment="1">
      <alignment vertical="top" wrapText="1"/>
    </xf>
    <xf numFmtId="0" fontId="17" fillId="0" borderId="1" xfId="0" applyFont="1" applyBorder="1" applyAlignment="1">
      <alignment vertical="top" wrapText="1"/>
    </xf>
    <xf numFmtId="0" fontId="2" fillId="2" borderId="1" xfId="0" applyFont="1" applyFill="1" applyBorder="1"/>
    <xf numFmtId="0" fontId="6" fillId="0" borderId="1" xfId="0" applyFont="1" applyBorder="1" applyAlignment="1">
      <alignment horizontal="right" vertical="top" wrapText="1"/>
    </xf>
    <xf numFmtId="0" fontId="6" fillId="0" borderId="1" xfId="0" applyFont="1" applyBorder="1" applyAlignment="1">
      <alignment vertical="top" wrapText="1"/>
    </xf>
    <xf numFmtId="0" fontId="50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right" vertical="top" wrapText="1"/>
    </xf>
    <xf numFmtId="0" fontId="14" fillId="0" borderId="1" xfId="0" applyFont="1" applyBorder="1"/>
    <xf numFmtId="0" fontId="49" fillId="0" borderId="1" xfId="0" applyFont="1" applyBorder="1"/>
    <xf numFmtId="0" fontId="0" fillId="0" borderId="1" xfId="0" applyBorder="1" applyAlignment="1">
      <alignment horizontal="left" indent="3"/>
    </xf>
    <xf numFmtId="0" fontId="4" fillId="0" borderId="1" xfId="0" applyFont="1" applyBorder="1" applyAlignment="1">
      <alignment horizontal="right" vertical="top" wrapText="1"/>
    </xf>
    <xf numFmtId="0" fontId="51" fillId="0" borderId="1" xfId="0" applyFont="1" applyBorder="1"/>
    <xf numFmtId="0" fontId="30" fillId="0" borderId="1" xfId="0" applyFont="1" applyBorder="1"/>
    <xf numFmtId="0" fontId="6" fillId="0" borderId="1" xfId="0" applyFont="1" applyBorder="1"/>
    <xf numFmtId="0" fontId="48" fillId="0" borderId="1" xfId="0" applyFont="1" applyBorder="1"/>
    <xf numFmtId="0" fontId="35" fillId="0" borderId="1" xfId="0" applyFont="1" applyBorder="1"/>
    <xf numFmtId="0" fontId="51" fillId="0" borderId="1" xfId="0" applyFont="1" applyBorder="1" applyAlignment="1">
      <alignment horizontal="right"/>
    </xf>
    <xf numFmtId="0" fontId="5" fillId="0" borderId="1" xfId="0" applyFont="1" applyBorder="1" applyAlignment="1">
      <alignment horizontal="right" wrapText="1"/>
    </xf>
    <xf numFmtId="0" fontId="33" fillId="0" borderId="1" xfId="0" applyFont="1" applyBorder="1" applyAlignment="1">
      <alignment horizontal="left" indent="3"/>
    </xf>
    <xf numFmtId="0" fontId="32" fillId="0" borderId="1" xfId="0" applyFont="1" applyBorder="1"/>
    <xf numFmtId="0" fontId="14" fillId="0" borderId="1" xfId="0" applyFont="1" applyBorder="1" applyAlignment="1">
      <alignment horizontal="right" vertical="top" wrapText="1"/>
    </xf>
    <xf numFmtId="1" fontId="17" fillId="0" borderId="1" xfId="0" applyNumberFormat="1" applyFont="1" applyBorder="1" applyAlignment="1">
      <alignment vertical="top" wrapText="1"/>
    </xf>
    <xf numFmtId="0" fontId="49" fillId="0" borderId="1" xfId="0" applyFont="1" applyBorder="1" applyAlignment="1">
      <alignment vertical="top" wrapText="1"/>
    </xf>
    <xf numFmtId="0" fontId="51" fillId="0" borderId="1" xfId="0" applyFont="1" applyBorder="1" applyAlignment="1">
      <alignment vertical="top" wrapText="1"/>
    </xf>
    <xf numFmtId="0" fontId="28" fillId="0" borderId="1" xfId="0" applyFont="1" applyBorder="1"/>
    <xf numFmtId="0" fontId="16" fillId="0" borderId="1" xfId="0" applyFont="1" applyBorder="1"/>
    <xf numFmtId="0" fontId="30" fillId="0" borderId="1" xfId="0" applyFont="1" applyBorder="1" applyAlignment="1">
      <alignment horizontal="left" indent="2"/>
    </xf>
    <xf numFmtId="1" fontId="5" fillId="0" borderId="1" xfId="0" applyNumberFormat="1" applyFont="1" applyBorder="1" applyAlignment="1">
      <alignment wrapText="1"/>
    </xf>
    <xf numFmtId="1" fontId="35" fillId="0" borderId="1" xfId="0" applyNumberFormat="1" applyFont="1" applyBorder="1" applyAlignment="1">
      <alignment wrapText="1"/>
    </xf>
    <xf numFmtId="0" fontId="31" fillId="0" borderId="1" xfId="0" applyFont="1" applyBorder="1" applyAlignment="1">
      <alignment horizontal="left" indent="2"/>
    </xf>
    <xf numFmtId="0" fontId="21" fillId="0" borderId="1" xfId="0" applyFont="1" applyBorder="1"/>
    <xf numFmtId="0" fontId="33" fillId="0" borderId="1" xfId="0" applyFont="1" applyBorder="1" applyAlignment="1">
      <alignment horizontal="left" indent="2"/>
    </xf>
    <xf numFmtId="0" fontId="1" fillId="0" borderId="1" xfId="0" applyFont="1" applyBorder="1"/>
    <xf numFmtId="0" fontId="13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36" fillId="0" borderId="2" xfId="0" applyFont="1" applyBorder="1" applyAlignment="1">
      <alignment horizontal="right"/>
    </xf>
    <xf numFmtId="0" fontId="25" fillId="0" borderId="0" xfId="0" applyFont="1" applyAlignment="1">
      <alignment horizontal="right"/>
    </xf>
    <xf numFmtId="0" fontId="22" fillId="0" borderId="0" xfId="0" applyFont="1" applyAlignment="1">
      <alignment horizontal="right"/>
    </xf>
    <xf numFmtId="0" fontId="36" fillId="0" borderId="0" xfId="0" applyFont="1" applyAlignment="1">
      <alignment horizontal="right"/>
    </xf>
    <xf numFmtId="0" fontId="35" fillId="0" borderId="0" xfId="0" applyFont="1" applyAlignment="1">
      <alignment horizontal="center"/>
    </xf>
    <xf numFmtId="0" fontId="27" fillId="0" borderId="0" xfId="0" applyFont="1" applyAlignment="1">
      <alignment horizontal="center" wrapText="1"/>
    </xf>
    <xf numFmtId="0" fontId="1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EMOG-ANNA/All/Users/tanna/Desktop/Tvjalneri%20bazaner%2001.01.2016/Arm/HH%20mtakan%20bnakchutyan%20tvaqanakn%20yst%20marzeri%20-%20Copy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tanna/Desktop/2017%20sera-tariq/Tvjalneri%20baza%202017/Bnakchutyan%20tvaqanak%20yst%20marzer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tanna/Downloads/6.Bnakchutyan%20tvaqanak%20yst%20marzeri.xls%202017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tanna/Downloads/6.%20De%20jure%20population%20number%20of%20RA%20Marzes%20ar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Melik/Desktop/Tvyalneri%20baza/ARM/6.9951417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tanna/Downloads/6.bnakch%20arm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tanna/Downloads/6.9952478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kkarine/Documents/Tvjalneri%20baza%202017/Bnakchutyan%20tvaqanak%20yst%20marzeri%20ar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Ընդամենըբնակչություն"/>
      <sheetName val="Քաղաքային"/>
      <sheetName val="Գյուղական"/>
    </sheetNames>
    <sheetDataSet>
      <sheetData sheetId="0" refreshError="1"/>
      <sheetData sheetId="1" refreshError="1">
        <row r="6">
          <cell r="G6">
            <v>1073660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Ընդամենըբնակչություն"/>
      <sheetName val="Քաղաքային"/>
      <sheetName val="Գյուղական"/>
    </sheetNames>
    <sheetDataSet>
      <sheetData sheetId="0" refreshError="1"/>
      <sheetData sheetId="1" refreshError="1">
        <row r="6">
          <cell r="H6">
            <v>1075841</v>
          </cell>
        </row>
      </sheetData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Ընդամենըբնակչություն"/>
      <sheetName val="Քաղաքային"/>
      <sheetName val="Գյուղական"/>
    </sheetNames>
    <sheetDataSet>
      <sheetData sheetId="0" refreshError="1"/>
      <sheetData sheetId="1" refreshError="1">
        <row r="6">
          <cell r="I6">
            <v>1077590</v>
          </cell>
        </row>
        <row r="21">
          <cell r="I21">
            <v>17217</v>
          </cell>
        </row>
        <row r="22">
          <cell r="I22">
            <v>6059</v>
          </cell>
        </row>
        <row r="23">
          <cell r="I23">
            <v>4326</v>
          </cell>
        </row>
        <row r="26">
          <cell r="I26">
            <v>19802</v>
          </cell>
        </row>
        <row r="27">
          <cell r="I27">
            <v>20395</v>
          </cell>
        </row>
        <row r="28">
          <cell r="I28">
            <v>11675</v>
          </cell>
        </row>
        <row r="29">
          <cell r="I29">
            <v>20512</v>
          </cell>
        </row>
        <row r="32">
          <cell r="I32">
            <v>28173</v>
          </cell>
        </row>
        <row r="33">
          <cell r="I33">
            <v>8630</v>
          </cell>
        </row>
        <row r="34">
          <cell r="I34">
            <v>46406</v>
          </cell>
        </row>
        <row r="37">
          <cell r="I37">
            <v>18721</v>
          </cell>
        </row>
        <row r="38">
          <cell r="I38">
            <v>5652</v>
          </cell>
        </row>
        <row r="39">
          <cell r="I39">
            <v>11739</v>
          </cell>
        </row>
        <row r="40">
          <cell r="I40">
            <v>19079</v>
          </cell>
        </row>
        <row r="41">
          <cell r="I41">
            <v>12501</v>
          </cell>
        </row>
        <row r="44">
          <cell r="I44">
            <v>79310</v>
          </cell>
        </row>
        <row r="45">
          <cell r="I45">
            <v>12740</v>
          </cell>
        </row>
        <row r="46">
          <cell r="I46">
            <v>1999</v>
          </cell>
        </row>
        <row r="47">
          <cell r="I47">
            <v>1529</v>
          </cell>
        </row>
        <row r="48">
          <cell r="I48">
            <v>626</v>
          </cell>
        </row>
        <row r="49">
          <cell r="I49">
            <v>12781</v>
          </cell>
        </row>
        <row r="50">
          <cell r="I50">
            <v>12529</v>
          </cell>
        </row>
        <row r="51">
          <cell r="I51">
            <v>7330</v>
          </cell>
        </row>
        <row r="54">
          <cell r="I54">
            <v>40465</v>
          </cell>
        </row>
        <row r="55">
          <cell r="I55">
            <v>20469</v>
          </cell>
        </row>
        <row r="56">
          <cell r="I56">
            <v>1185</v>
          </cell>
        </row>
        <row r="57">
          <cell r="I57">
            <v>44613</v>
          </cell>
        </row>
        <row r="58">
          <cell r="I58">
            <v>9187</v>
          </cell>
        </row>
        <row r="59">
          <cell r="I59">
            <v>11900</v>
          </cell>
        </row>
        <row r="60">
          <cell r="I60">
            <v>9298</v>
          </cell>
        </row>
        <row r="63">
          <cell r="I63">
            <v>114430</v>
          </cell>
        </row>
        <row r="64">
          <cell r="I64">
            <v>5423</v>
          </cell>
        </row>
        <row r="65">
          <cell r="I65">
            <v>18110</v>
          </cell>
        </row>
        <row r="68">
          <cell r="I68">
            <v>42464</v>
          </cell>
        </row>
        <row r="69">
          <cell r="I69">
            <v>7015</v>
          </cell>
        </row>
        <row r="70">
          <cell r="I70">
            <v>20416</v>
          </cell>
        </row>
        <row r="71">
          <cell r="I71">
            <v>4514</v>
          </cell>
        </row>
        <row r="72">
          <cell r="I72">
            <v>4239</v>
          </cell>
        </row>
        <row r="73">
          <cell r="I73">
            <v>14826</v>
          </cell>
        </row>
        <row r="74">
          <cell r="I74">
            <v>297</v>
          </cell>
        </row>
        <row r="77">
          <cell r="I77">
            <v>7528</v>
          </cell>
        </row>
        <row r="78">
          <cell r="I78">
            <v>5661</v>
          </cell>
        </row>
        <row r="79">
          <cell r="I79">
            <v>4265</v>
          </cell>
        </row>
        <row r="82">
          <cell r="I82">
            <v>20515</v>
          </cell>
        </row>
        <row r="83">
          <cell r="I83">
            <v>17464</v>
          </cell>
        </row>
        <row r="84">
          <cell r="I84">
            <v>4683</v>
          </cell>
        </row>
        <row r="85">
          <cell r="I85">
            <v>1895</v>
          </cell>
        </row>
        <row r="86">
          <cell r="I86">
            <v>7624</v>
          </cell>
        </row>
      </sheetData>
      <sheetData sheetId="2" refreshError="1">
        <row r="8">
          <cell r="I8">
            <v>42699</v>
          </cell>
        </row>
        <row r="9">
          <cell r="I9">
            <v>15387</v>
          </cell>
        </row>
        <row r="10">
          <cell r="I10">
            <v>13553</v>
          </cell>
        </row>
        <row r="11">
          <cell r="I11">
            <v>27905</v>
          </cell>
        </row>
        <row r="14">
          <cell r="I14">
            <v>69268</v>
          </cell>
        </row>
        <row r="15">
          <cell r="I15">
            <v>57689</v>
          </cell>
        </row>
        <row r="16">
          <cell r="I16">
            <v>58463</v>
          </cell>
        </row>
        <row r="19">
          <cell r="I19">
            <v>74890</v>
          </cell>
        </row>
        <row r="20">
          <cell r="I20">
            <v>19506</v>
          </cell>
        </row>
        <row r="21">
          <cell r="I21">
            <v>87012</v>
          </cell>
        </row>
        <row r="24">
          <cell r="I24">
            <v>30938</v>
          </cell>
        </row>
        <row r="25">
          <cell r="I25">
            <v>7689</v>
          </cell>
        </row>
        <row r="26">
          <cell r="I26">
            <v>77289</v>
          </cell>
        </row>
        <row r="27">
          <cell r="I27">
            <v>20893</v>
          </cell>
        </row>
        <row r="28">
          <cell r="I28">
            <v>25210</v>
          </cell>
        </row>
        <row r="31">
          <cell r="I31">
            <v>19411</v>
          </cell>
        </row>
        <row r="32">
          <cell r="I32">
            <v>21565</v>
          </cell>
        </row>
        <row r="33">
          <cell r="I33">
            <v>22785</v>
          </cell>
        </row>
        <row r="34">
          <cell r="I34">
            <v>13766</v>
          </cell>
        </row>
        <row r="35">
          <cell r="I35">
            <v>10992</v>
          </cell>
        </row>
        <row r="38">
          <cell r="I38">
            <v>21081</v>
          </cell>
        </row>
        <row r="39">
          <cell r="I39">
            <v>57200</v>
          </cell>
        </row>
        <row r="40">
          <cell r="I40">
            <v>36200</v>
          </cell>
        </row>
        <row r="43">
          <cell r="I43">
            <v>37889</v>
          </cell>
        </row>
        <row r="44">
          <cell r="I44">
            <v>6192</v>
          </cell>
        </row>
        <row r="45">
          <cell r="I45">
            <v>9287</v>
          </cell>
        </row>
        <row r="46">
          <cell r="I46">
            <v>13377</v>
          </cell>
        </row>
        <row r="47">
          <cell r="I47">
            <v>30672</v>
          </cell>
        </row>
        <row r="50">
          <cell r="I50">
            <v>7475</v>
          </cell>
        </row>
        <row r="51">
          <cell r="I51">
            <v>20271</v>
          </cell>
        </row>
        <row r="52">
          <cell r="I52">
            <v>2113</v>
          </cell>
        </row>
        <row r="53">
          <cell r="I53">
            <v>14767</v>
          </cell>
        </row>
        <row r="56">
          <cell r="I56">
            <v>24717</v>
          </cell>
        </row>
        <row r="57">
          <cell r="I57">
            <v>7462</v>
          </cell>
        </row>
        <row r="60">
          <cell r="I60">
            <v>27075</v>
          </cell>
        </row>
        <row r="61">
          <cell r="I61">
            <v>5743</v>
          </cell>
        </row>
        <row r="62">
          <cell r="I62">
            <v>21172</v>
          </cell>
        </row>
        <row r="63">
          <cell r="I63">
            <v>17322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Ընդամենըբնակչություն"/>
      <sheetName val="Քաղաքային"/>
      <sheetName val="Գյուղական"/>
    </sheetNames>
    <sheetDataSet>
      <sheetData sheetId="0" refreshError="1"/>
      <sheetData sheetId="1" refreshError="1">
        <row r="6">
          <cell r="J6">
            <v>1081874</v>
          </cell>
        </row>
        <row r="22">
          <cell r="J22">
            <v>5958</v>
          </cell>
        </row>
        <row r="23">
          <cell r="J23">
            <v>4147</v>
          </cell>
        </row>
        <row r="26">
          <cell r="J26">
            <v>19406</v>
          </cell>
        </row>
        <row r="27">
          <cell r="J27">
            <v>20421</v>
          </cell>
        </row>
        <row r="28">
          <cell r="J28">
            <v>11762</v>
          </cell>
        </row>
        <row r="29">
          <cell r="J29">
            <v>20576</v>
          </cell>
        </row>
        <row r="32">
          <cell r="J32">
            <v>27932</v>
          </cell>
        </row>
        <row r="33">
          <cell r="J33">
            <v>8487</v>
          </cell>
        </row>
        <row r="34">
          <cell r="J34">
            <v>46244</v>
          </cell>
        </row>
        <row r="37">
          <cell r="J37">
            <v>18358</v>
          </cell>
        </row>
        <row r="38">
          <cell r="J38">
            <v>5602</v>
          </cell>
        </row>
        <row r="39">
          <cell r="J39">
            <v>11553</v>
          </cell>
        </row>
        <row r="40">
          <cell r="J40">
            <v>19012</v>
          </cell>
        </row>
        <row r="41">
          <cell r="J41">
            <v>12453</v>
          </cell>
        </row>
        <row r="44">
          <cell r="J44">
            <v>78386</v>
          </cell>
        </row>
        <row r="45">
          <cell r="J45">
            <v>12641</v>
          </cell>
        </row>
        <row r="46">
          <cell r="J46">
            <v>1992</v>
          </cell>
        </row>
        <row r="47">
          <cell r="J47">
            <v>1507</v>
          </cell>
        </row>
        <row r="48">
          <cell r="J48">
            <v>609</v>
          </cell>
        </row>
        <row r="49">
          <cell r="J49">
            <v>12733</v>
          </cell>
        </row>
        <row r="50">
          <cell r="J50">
            <v>12446</v>
          </cell>
        </row>
        <row r="51">
          <cell r="J51">
            <v>7271</v>
          </cell>
        </row>
        <row r="54">
          <cell r="J54">
            <v>40461</v>
          </cell>
        </row>
        <row r="55">
          <cell r="J55">
            <v>20501</v>
          </cell>
        </row>
        <row r="56">
          <cell r="J56">
            <v>1185</v>
          </cell>
        </row>
        <row r="57">
          <cell r="J57">
            <v>44844</v>
          </cell>
        </row>
        <row r="58">
          <cell r="J58">
            <v>9179</v>
          </cell>
        </row>
        <row r="59">
          <cell r="J59">
            <v>11933</v>
          </cell>
        </row>
        <row r="60">
          <cell r="J60">
            <v>9308</v>
          </cell>
        </row>
        <row r="63">
          <cell r="J63">
            <v>113525</v>
          </cell>
        </row>
        <row r="64">
          <cell r="J64">
            <v>5415</v>
          </cell>
        </row>
        <row r="65">
          <cell r="J65">
            <v>17956</v>
          </cell>
        </row>
        <row r="68">
          <cell r="J68">
            <v>42290</v>
          </cell>
        </row>
        <row r="69">
          <cell r="J69">
            <v>6961</v>
          </cell>
        </row>
        <row r="70">
          <cell r="J70">
            <v>20341</v>
          </cell>
        </row>
        <row r="71">
          <cell r="J71">
            <v>4509</v>
          </cell>
        </row>
        <row r="72">
          <cell r="J72">
            <v>4171</v>
          </cell>
        </row>
        <row r="73">
          <cell r="J73">
            <v>14790</v>
          </cell>
        </row>
        <row r="74">
          <cell r="J74">
            <v>288</v>
          </cell>
        </row>
        <row r="77">
          <cell r="J77">
            <v>7444</v>
          </cell>
        </row>
        <row r="78">
          <cell r="J78">
            <v>5640</v>
          </cell>
        </row>
        <row r="79">
          <cell r="J79">
            <v>4197</v>
          </cell>
        </row>
        <row r="82">
          <cell r="J82">
            <v>20373</v>
          </cell>
        </row>
        <row r="83">
          <cell r="J83">
            <v>17392</v>
          </cell>
        </row>
        <row r="84">
          <cell r="J84">
            <v>4584</v>
          </cell>
        </row>
        <row r="85">
          <cell r="J85">
            <v>1849</v>
          </cell>
        </row>
        <row r="86">
          <cell r="J86">
            <v>7533</v>
          </cell>
        </row>
      </sheetData>
      <sheetData sheetId="2" refreshError="1">
        <row r="8">
          <cell r="J8">
            <v>41921</v>
          </cell>
        </row>
        <row r="9">
          <cell r="J9">
            <v>15226</v>
          </cell>
        </row>
        <row r="10">
          <cell r="J10">
            <v>13522</v>
          </cell>
        </row>
        <row r="11">
          <cell r="J11">
            <v>27788</v>
          </cell>
        </row>
        <row r="14">
          <cell r="J14">
            <v>68712</v>
          </cell>
        </row>
        <row r="15">
          <cell r="J15">
            <v>57443</v>
          </cell>
        </row>
        <row r="16">
          <cell r="J16">
            <v>58368</v>
          </cell>
        </row>
        <row r="19">
          <cell r="J19">
            <v>75040</v>
          </cell>
        </row>
        <row r="20">
          <cell r="J20">
            <v>19302</v>
          </cell>
        </row>
        <row r="21">
          <cell r="J21">
            <v>86895</v>
          </cell>
        </row>
        <row r="24">
          <cell r="J24">
            <v>30681</v>
          </cell>
        </row>
        <row r="25">
          <cell r="J25">
            <v>7641</v>
          </cell>
        </row>
        <row r="26">
          <cell r="J26">
            <v>77070</v>
          </cell>
        </row>
        <row r="27">
          <cell r="J27">
            <v>20887</v>
          </cell>
        </row>
        <row r="28">
          <cell r="J28">
            <v>24999</v>
          </cell>
        </row>
        <row r="31">
          <cell r="J31">
            <v>19158</v>
          </cell>
        </row>
        <row r="32">
          <cell r="J32">
            <v>21486</v>
          </cell>
        </row>
        <row r="33">
          <cell r="J33">
            <v>22820</v>
          </cell>
        </row>
        <row r="34">
          <cell r="J34">
            <v>13683</v>
          </cell>
        </row>
        <row r="35">
          <cell r="J35">
            <v>10739</v>
          </cell>
        </row>
        <row r="38">
          <cell r="J38">
            <v>20993</v>
          </cell>
        </row>
        <row r="39">
          <cell r="J39">
            <v>57117</v>
          </cell>
        </row>
        <row r="40">
          <cell r="J40">
            <v>36088</v>
          </cell>
        </row>
        <row r="43">
          <cell r="J43">
            <v>37411</v>
          </cell>
        </row>
        <row r="44">
          <cell r="J44">
            <v>6167</v>
          </cell>
        </row>
        <row r="45">
          <cell r="J45">
            <v>9270</v>
          </cell>
        </row>
        <row r="46">
          <cell r="J46">
            <v>13352</v>
          </cell>
        </row>
        <row r="47">
          <cell r="J47">
            <v>30149</v>
          </cell>
        </row>
        <row r="50">
          <cell r="J50">
            <v>7322</v>
          </cell>
        </row>
        <row r="51">
          <cell r="J51">
            <v>20133</v>
          </cell>
        </row>
        <row r="52">
          <cell r="J52">
            <v>2077</v>
          </cell>
        </row>
        <row r="53">
          <cell r="J53">
            <v>14692</v>
          </cell>
        </row>
        <row r="56">
          <cell r="J56">
            <v>24325</v>
          </cell>
        </row>
        <row r="57">
          <cell r="J57">
            <v>7364</v>
          </cell>
        </row>
        <row r="60">
          <cell r="J60">
            <v>27078</v>
          </cell>
        </row>
        <row r="61">
          <cell r="J61">
            <v>5584</v>
          </cell>
        </row>
        <row r="62">
          <cell r="J62">
            <v>20991</v>
          </cell>
        </row>
        <row r="63">
          <cell r="J63">
            <v>16858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Ընդամենը բնակչություն"/>
      <sheetName val="Քաղաքային"/>
      <sheetName val="Գյուղական"/>
    </sheetNames>
    <sheetDataSet>
      <sheetData sheetId="0" refreshError="1"/>
      <sheetData sheetId="1" refreshError="1">
        <row r="6">
          <cell r="K6">
            <v>1084024</v>
          </cell>
        </row>
        <row r="21">
          <cell r="K21">
            <v>16777</v>
          </cell>
        </row>
        <row r="22">
          <cell r="K22">
            <v>5944</v>
          </cell>
        </row>
        <row r="23">
          <cell r="K23">
            <v>4072</v>
          </cell>
        </row>
        <row r="26">
          <cell r="K26">
            <v>19230</v>
          </cell>
        </row>
        <row r="27">
          <cell r="K27">
            <v>20445</v>
          </cell>
        </row>
        <row r="28">
          <cell r="K28">
            <v>11800</v>
          </cell>
        </row>
        <row r="29">
          <cell r="K29">
            <v>20653</v>
          </cell>
        </row>
        <row r="32">
          <cell r="K32">
            <v>27833</v>
          </cell>
        </row>
        <row r="33">
          <cell r="K33">
            <v>8411</v>
          </cell>
        </row>
        <row r="34">
          <cell r="K34">
            <v>46209</v>
          </cell>
        </row>
        <row r="37">
          <cell r="K37">
            <v>18082</v>
          </cell>
        </row>
        <row r="38">
          <cell r="K38">
            <v>5570</v>
          </cell>
        </row>
        <row r="39">
          <cell r="K39">
            <v>11443</v>
          </cell>
        </row>
        <row r="40">
          <cell r="K40">
            <v>19010</v>
          </cell>
        </row>
        <row r="41">
          <cell r="K41">
            <v>12443</v>
          </cell>
        </row>
        <row r="44">
          <cell r="K44">
            <v>77234</v>
          </cell>
        </row>
        <row r="45">
          <cell r="K45">
            <v>12543</v>
          </cell>
        </row>
        <row r="46">
          <cell r="K46">
            <v>1970</v>
          </cell>
        </row>
        <row r="47">
          <cell r="K47">
            <v>1484</v>
          </cell>
        </row>
        <row r="48">
          <cell r="K48">
            <v>606</v>
          </cell>
        </row>
        <row r="49">
          <cell r="K49">
            <v>12690</v>
          </cell>
        </row>
        <row r="50">
          <cell r="K50">
            <v>12343</v>
          </cell>
        </row>
        <row r="51">
          <cell r="K51">
            <v>7203</v>
          </cell>
        </row>
        <row r="54">
          <cell r="K54">
            <v>40011</v>
          </cell>
        </row>
        <row r="55">
          <cell r="K55">
            <v>20437</v>
          </cell>
        </row>
        <row r="56">
          <cell r="K56">
            <v>1174</v>
          </cell>
        </row>
        <row r="57">
          <cell r="K57">
            <v>44931</v>
          </cell>
        </row>
        <row r="58">
          <cell r="K58">
            <v>9069</v>
          </cell>
        </row>
        <row r="59">
          <cell r="K59">
            <v>11952</v>
          </cell>
        </row>
        <row r="60">
          <cell r="K60">
            <v>9262</v>
          </cell>
        </row>
        <row r="63">
          <cell r="K63">
            <v>112412</v>
          </cell>
        </row>
        <row r="64">
          <cell r="K64">
            <v>5408</v>
          </cell>
        </row>
        <row r="65">
          <cell r="K65">
            <v>17750</v>
          </cell>
        </row>
        <row r="68">
          <cell r="K68">
            <v>42184</v>
          </cell>
        </row>
        <row r="69">
          <cell r="K69">
            <v>6942</v>
          </cell>
        </row>
        <row r="70">
          <cell r="K70">
            <v>20405</v>
          </cell>
        </row>
        <row r="71">
          <cell r="K71">
            <v>4487</v>
          </cell>
        </row>
        <row r="72">
          <cell r="K72">
            <v>4122</v>
          </cell>
        </row>
        <row r="73">
          <cell r="K73">
            <v>14757</v>
          </cell>
        </row>
        <row r="74">
          <cell r="K74">
            <v>283</v>
          </cell>
        </row>
        <row r="77">
          <cell r="K77">
            <v>7358</v>
          </cell>
        </row>
        <row r="78">
          <cell r="K78">
            <v>5592</v>
          </cell>
        </row>
        <row r="79">
          <cell r="K79">
            <v>4136</v>
          </cell>
        </row>
        <row r="82">
          <cell r="K82">
            <v>20293</v>
          </cell>
        </row>
        <row r="83">
          <cell r="K83">
            <v>17295</v>
          </cell>
        </row>
        <row r="84">
          <cell r="K84">
            <v>4514</v>
          </cell>
        </row>
        <row r="85">
          <cell r="K85">
            <v>1815</v>
          </cell>
        </row>
        <row r="86">
          <cell r="K86">
            <v>7478</v>
          </cell>
        </row>
      </sheetData>
      <sheetData sheetId="2" refreshError="1">
        <row r="8">
          <cell r="K8">
            <v>41545</v>
          </cell>
        </row>
        <row r="9">
          <cell r="K9">
            <v>15184</v>
          </cell>
        </row>
        <row r="10">
          <cell r="K10">
            <v>13526</v>
          </cell>
        </row>
        <row r="11">
          <cell r="K11">
            <v>27673</v>
          </cell>
        </row>
        <row r="14">
          <cell r="K14">
            <v>68590</v>
          </cell>
        </row>
        <row r="15">
          <cell r="K15">
            <v>57449</v>
          </cell>
        </row>
        <row r="16">
          <cell r="K16">
            <v>58403</v>
          </cell>
        </row>
        <row r="19">
          <cell r="K19">
            <v>75235</v>
          </cell>
        </row>
        <row r="20">
          <cell r="K20">
            <v>19230</v>
          </cell>
        </row>
        <row r="21">
          <cell r="K21">
            <v>86945</v>
          </cell>
        </row>
        <row r="24">
          <cell r="K24">
            <v>30543</v>
          </cell>
        </row>
        <row r="25">
          <cell r="K25">
            <v>7597</v>
          </cell>
        </row>
        <row r="26">
          <cell r="K26">
            <v>77110</v>
          </cell>
        </row>
        <row r="27">
          <cell r="K27">
            <v>20897</v>
          </cell>
        </row>
        <row r="28">
          <cell r="K28">
            <v>24937</v>
          </cell>
        </row>
        <row r="31">
          <cell r="K31">
            <v>18967</v>
          </cell>
        </row>
        <row r="32">
          <cell r="K32">
            <v>21389</v>
          </cell>
        </row>
        <row r="33">
          <cell r="K33">
            <v>22810</v>
          </cell>
        </row>
        <row r="34">
          <cell r="K34">
            <v>13588</v>
          </cell>
        </row>
        <row r="35">
          <cell r="K35">
            <v>10488</v>
          </cell>
        </row>
        <row r="38">
          <cell r="K38">
            <v>20987</v>
          </cell>
        </row>
        <row r="39">
          <cell r="K39">
            <v>57072</v>
          </cell>
        </row>
        <row r="40">
          <cell r="K40">
            <v>36013</v>
          </cell>
        </row>
        <row r="43">
          <cell r="K43">
            <v>37137</v>
          </cell>
        </row>
        <row r="44">
          <cell r="K44">
            <v>6151</v>
          </cell>
        </row>
        <row r="45">
          <cell r="K45">
            <v>9286</v>
          </cell>
        </row>
        <row r="46">
          <cell r="K46">
            <v>13338</v>
          </cell>
        </row>
        <row r="47">
          <cell r="K47">
            <v>29883</v>
          </cell>
        </row>
        <row r="50">
          <cell r="K50">
            <v>7280</v>
          </cell>
        </row>
        <row r="51">
          <cell r="K51">
            <v>20114</v>
          </cell>
        </row>
        <row r="52">
          <cell r="K52">
            <v>2061</v>
          </cell>
        </row>
        <row r="53">
          <cell r="K53">
            <v>14677</v>
          </cell>
        </row>
        <row r="56">
          <cell r="K56">
            <v>24110</v>
          </cell>
        </row>
        <row r="57">
          <cell r="K57">
            <v>7312</v>
          </cell>
        </row>
        <row r="60">
          <cell r="K60">
            <v>27114</v>
          </cell>
        </row>
        <row r="61">
          <cell r="K61">
            <v>5510</v>
          </cell>
        </row>
        <row r="62">
          <cell r="K62">
            <v>20913</v>
          </cell>
        </row>
        <row r="63">
          <cell r="K63">
            <v>16544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Ընդամենը բնակչություն"/>
      <sheetName val="Քաղաքային"/>
      <sheetName val="Գյուղական"/>
    </sheetNames>
    <sheetDataSet>
      <sheetData sheetId="0" refreshError="1"/>
      <sheetData sheetId="1" refreshError="1">
        <row r="6">
          <cell r="L6">
            <v>1091747</v>
          </cell>
        </row>
        <row r="21">
          <cell r="L21">
            <v>16674</v>
          </cell>
        </row>
        <row r="22">
          <cell r="L22">
            <v>5872</v>
          </cell>
        </row>
        <row r="23">
          <cell r="L23">
            <v>4019</v>
          </cell>
        </row>
        <row r="26">
          <cell r="L26">
            <v>19114</v>
          </cell>
        </row>
        <row r="27">
          <cell r="L27">
            <v>20407</v>
          </cell>
        </row>
        <row r="28">
          <cell r="L28">
            <v>11758</v>
          </cell>
        </row>
        <row r="29">
          <cell r="L29">
            <v>20667</v>
          </cell>
        </row>
        <row r="32">
          <cell r="L32">
            <v>27680</v>
          </cell>
        </row>
        <row r="33">
          <cell r="L33">
            <v>8406</v>
          </cell>
        </row>
        <row r="34">
          <cell r="L34">
            <v>46388</v>
          </cell>
        </row>
        <row r="37">
          <cell r="L37">
            <v>17968</v>
          </cell>
        </row>
        <row r="38">
          <cell r="L38">
            <v>5495</v>
          </cell>
        </row>
        <row r="39">
          <cell r="L39">
            <v>11428</v>
          </cell>
        </row>
        <row r="40">
          <cell r="L40">
            <v>18959</v>
          </cell>
        </row>
        <row r="41">
          <cell r="L41">
            <v>12363</v>
          </cell>
        </row>
        <row r="44">
          <cell r="L44">
            <v>76860</v>
          </cell>
        </row>
        <row r="45">
          <cell r="L45">
            <v>12361</v>
          </cell>
        </row>
        <row r="46">
          <cell r="L46">
            <v>1951</v>
          </cell>
        </row>
        <row r="47">
          <cell r="L47">
            <v>1448</v>
          </cell>
        </row>
        <row r="48">
          <cell r="L48">
            <v>602</v>
          </cell>
        </row>
        <row r="49">
          <cell r="L49">
            <v>12677</v>
          </cell>
        </row>
        <row r="50">
          <cell r="L50">
            <v>12232</v>
          </cell>
        </row>
        <row r="51">
          <cell r="L51">
            <v>7256</v>
          </cell>
        </row>
        <row r="54">
          <cell r="L54">
            <v>39868</v>
          </cell>
        </row>
        <row r="55">
          <cell r="L55">
            <v>20349</v>
          </cell>
        </row>
        <row r="56">
          <cell r="L56">
            <v>1172</v>
          </cell>
        </row>
        <row r="57">
          <cell r="L57">
            <v>44986</v>
          </cell>
        </row>
        <row r="58">
          <cell r="L58">
            <v>9088</v>
          </cell>
        </row>
        <row r="59">
          <cell r="L59">
            <v>12090</v>
          </cell>
        </row>
        <row r="60">
          <cell r="L60">
            <v>9199</v>
          </cell>
        </row>
        <row r="63">
          <cell r="L63">
            <v>112108</v>
          </cell>
        </row>
        <row r="64">
          <cell r="L64">
            <v>5371</v>
          </cell>
        </row>
        <row r="65">
          <cell r="L65">
            <v>17702</v>
          </cell>
        </row>
        <row r="68">
          <cell r="L68">
            <v>41941</v>
          </cell>
        </row>
        <row r="69">
          <cell r="L69">
            <v>6927</v>
          </cell>
        </row>
        <row r="70">
          <cell r="L70">
            <v>19956</v>
          </cell>
        </row>
        <row r="71">
          <cell r="L71">
            <v>4234</v>
          </cell>
        </row>
        <row r="72">
          <cell r="L72">
            <v>4072</v>
          </cell>
        </row>
        <row r="73">
          <cell r="L73">
            <v>14441</v>
          </cell>
        </row>
        <row r="74">
          <cell r="L74">
            <v>281</v>
          </cell>
        </row>
        <row r="77">
          <cell r="L77">
            <v>7272</v>
          </cell>
        </row>
        <row r="78">
          <cell r="L78">
            <v>5508</v>
          </cell>
        </row>
        <row r="79">
          <cell r="L79">
            <v>4070</v>
          </cell>
        </row>
        <row r="82">
          <cell r="L82">
            <v>20021</v>
          </cell>
        </row>
        <row r="83">
          <cell r="L83">
            <v>17158</v>
          </cell>
        </row>
        <row r="84">
          <cell r="L84">
            <v>4517</v>
          </cell>
        </row>
        <row r="85">
          <cell r="L85">
            <v>1795</v>
          </cell>
        </row>
        <row r="86">
          <cell r="L86">
            <v>7097</v>
          </cell>
        </row>
      </sheetData>
      <sheetData sheetId="2" refreshError="1">
        <row r="8">
          <cell r="L8">
            <v>41587</v>
          </cell>
        </row>
        <row r="9">
          <cell r="L9">
            <v>15199</v>
          </cell>
        </row>
        <row r="10">
          <cell r="L10">
            <v>13463</v>
          </cell>
        </row>
        <row r="11">
          <cell r="L11">
            <v>27632</v>
          </cell>
        </row>
        <row r="14">
          <cell r="L14">
            <v>68519</v>
          </cell>
        </row>
        <row r="15">
          <cell r="L15">
            <v>57510</v>
          </cell>
        </row>
        <row r="16">
          <cell r="L16">
            <v>58655</v>
          </cell>
        </row>
        <row r="19">
          <cell r="L19">
            <v>75261</v>
          </cell>
        </row>
        <row r="20">
          <cell r="L20">
            <v>19198</v>
          </cell>
        </row>
        <row r="21">
          <cell r="L21">
            <v>87011</v>
          </cell>
        </row>
        <row r="24">
          <cell r="L24">
            <v>30504</v>
          </cell>
        </row>
        <row r="25">
          <cell r="L25">
            <v>7561</v>
          </cell>
        </row>
        <row r="26">
          <cell r="L26">
            <v>77279</v>
          </cell>
        </row>
        <row r="27">
          <cell r="L27">
            <v>20914</v>
          </cell>
        </row>
        <row r="28">
          <cell r="L28">
            <v>24798</v>
          </cell>
        </row>
        <row r="31">
          <cell r="L31">
            <v>19012</v>
          </cell>
        </row>
        <row r="32">
          <cell r="L32">
            <v>21350</v>
          </cell>
        </row>
        <row r="33">
          <cell r="L33">
            <v>22735</v>
          </cell>
        </row>
        <row r="34">
          <cell r="L34">
            <v>13582</v>
          </cell>
        </row>
        <row r="35">
          <cell r="L35">
            <v>10500</v>
          </cell>
        </row>
        <row r="38">
          <cell r="L38">
            <v>21088</v>
          </cell>
        </row>
        <row r="39">
          <cell r="L39">
            <v>57346</v>
          </cell>
        </row>
        <row r="40">
          <cell r="L40">
            <v>35991</v>
          </cell>
        </row>
        <row r="43">
          <cell r="L43">
            <v>37178</v>
          </cell>
        </row>
        <row r="44">
          <cell r="L44">
            <v>6109</v>
          </cell>
        </row>
        <row r="45">
          <cell r="L45">
            <v>9242</v>
          </cell>
        </row>
        <row r="46">
          <cell r="L46">
            <v>13343</v>
          </cell>
        </row>
        <row r="47">
          <cell r="L47">
            <v>29910</v>
          </cell>
        </row>
        <row r="50">
          <cell r="L50">
            <v>7235</v>
          </cell>
        </row>
        <row r="51">
          <cell r="L51">
            <v>20087</v>
          </cell>
        </row>
        <row r="52">
          <cell r="L52">
            <v>2054</v>
          </cell>
        </row>
        <row r="53">
          <cell r="L53">
            <v>14623</v>
          </cell>
        </row>
        <row r="56">
          <cell r="L56">
            <v>24002</v>
          </cell>
        </row>
        <row r="57">
          <cell r="L57">
            <v>7272</v>
          </cell>
        </row>
        <row r="60">
          <cell r="L60">
            <v>27229</v>
          </cell>
        </row>
        <row r="61">
          <cell r="L61">
            <v>5524</v>
          </cell>
        </row>
        <row r="62">
          <cell r="L62">
            <v>20788</v>
          </cell>
        </row>
        <row r="63">
          <cell r="L63">
            <v>16405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Ընդամենը բնակչություն"/>
      <sheetName val="Քաղաքային"/>
      <sheetName val="Գյուղական"/>
    </sheetNames>
    <sheetDataSet>
      <sheetData sheetId="0"/>
      <sheetData sheetId="1">
        <row r="6">
          <cell r="M6">
            <v>1092778</v>
          </cell>
        </row>
        <row r="21">
          <cell r="M21">
            <v>16630</v>
          </cell>
        </row>
        <row r="22">
          <cell r="M22">
            <v>5873</v>
          </cell>
        </row>
        <row r="23">
          <cell r="M23">
            <v>4042</v>
          </cell>
        </row>
        <row r="26">
          <cell r="M26">
            <v>19083</v>
          </cell>
        </row>
        <row r="27">
          <cell r="M27">
            <v>20385</v>
          </cell>
        </row>
        <row r="28">
          <cell r="M28">
            <v>11799</v>
          </cell>
        </row>
        <row r="29">
          <cell r="M29">
            <v>20702</v>
          </cell>
        </row>
        <row r="32">
          <cell r="M32">
            <v>27713</v>
          </cell>
        </row>
        <row r="33">
          <cell r="M33">
            <v>8453</v>
          </cell>
        </row>
        <row r="34">
          <cell r="M34">
            <v>46356</v>
          </cell>
        </row>
        <row r="37">
          <cell r="M37">
            <v>17830</v>
          </cell>
        </row>
        <row r="38">
          <cell r="M38">
            <v>5495</v>
          </cell>
        </row>
        <row r="39">
          <cell r="M39">
            <v>11399</v>
          </cell>
        </row>
        <row r="40">
          <cell r="M40">
            <v>18870</v>
          </cell>
        </row>
        <row r="41">
          <cell r="M41">
            <v>12322</v>
          </cell>
        </row>
        <row r="44">
          <cell r="M44">
            <v>76220</v>
          </cell>
        </row>
        <row r="45">
          <cell r="M45">
            <v>12238</v>
          </cell>
        </row>
        <row r="46">
          <cell r="M46">
            <v>1931</v>
          </cell>
        </row>
        <row r="47">
          <cell r="M47">
            <v>1442</v>
          </cell>
        </row>
        <row r="48">
          <cell r="M48">
            <v>594</v>
          </cell>
        </row>
        <row r="49">
          <cell r="M49">
            <v>12662</v>
          </cell>
        </row>
        <row r="50">
          <cell r="M50">
            <v>12151</v>
          </cell>
        </row>
        <row r="51">
          <cell r="M51">
            <v>7232</v>
          </cell>
        </row>
        <row r="54">
          <cell r="M54">
            <v>39957</v>
          </cell>
        </row>
        <row r="55">
          <cell r="M55">
            <v>20368</v>
          </cell>
        </row>
        <row r="56">
          <cell r="M56">
            <v>1165</v>
          </cell>
        </row>
        <row r="57">
          <cell r="M57">
            <v>45025</v>
          </cell>
        </row>
        <row r="58">
          <cell r="M58">
            <v>9142</v>
          </cell>
        </row>
        <row r="59">
          <cell r="M59">
            <v>12106</v>
          </cell>
        </row>
        <row r="60">
          <cell r="M60">
            <v>9197</v>
          </cell>
        </row>
        <row r="63">
          <cell r="M63">
            <v>111138</v>
          </cell>
        </row>
        <row r="64">
          <cell r="M64">
            <v>5335</v>
          </cell>
        </row>
        <row r="65">
          <cell r="M65">
            <v>17601</v>
          </cell>
        </row>
        <row r="68">
          <cell r="M68">
            <v>41512</v>
          </cell>
        </row>
        <row r="69">
          <cell r="M69">
            <v>6810</v>
          </cell>
        </row>
        <row r="70">
          <cell r="M70">
            <v>19664</v>
          </cell>
        </row>
        <row r="71">
          <cell r="M71">
            <v>4193</v>
          </cell>
        </row>
        <row r="72">
          <cell r="M72">
            <v>3952</v>
          </cell>
        </row>
        <row r="73">
          <cell r="M73">
            <v>14297</v>
          </cell>
        </row>
        <row r="74">
          <cell r="M74">
            <v>267</v>
          </cell>
        </row>
        <row r="77">
          <cell r="M77">
            <v>7040</v>
          </cell>
        </row>
        <row r="78">
          <cell r="M78">
            <v>5349</v>
          </cell>
        </row>
        <row r="79">
          <cell r="M79">
            <v>3902</v>
          </cell>
        </row>
        <row r="82">
          <cell r="M82">
            <v>19773</v>
          </cell>
        </row>
        <row r="83">
          <cell r="M83">
            <v>17045</v>
          </cell>
        </row>
        <row r="84">
          <cell r="M84">
            <v>4373</v>
          </cell>
        </row>
        <row r="85">
          <cell r="M85">
            <v>1746</v>
          </cell>
        </row>
        <row r="86">
          <cell r="M86">
            <v>6990</v>
          </cell>
        </row>
      </sheetData>
      <sheetData sheetId="2">
        <row r="8">
          <cell r="M8">
            <v>41689</v>
          </cell>
        </row>
        <row r="9">
          <cell r="M9">
            <v>15249</v>
          </cell>
        </row>
        <row r="10">
          <cell r="M10">
            <v>13494</v>
          </cell>
        </row>
        <row r="11">
          <cell r="M11">
            <v>27669</v>
          </cell>
        </row>
        <row r="14">
          <cell r="M14">
            <v>68393</v>
          </cell>
        </row>
        <row r="15">
          <cell r="M15">
            <v>57537</v>
          </cell>
        </row>
        <row r="16">
          <cell r="M16">
            <v>58716</v>
          </cell>
        </row>
        <row r="19">
          <cell r="M19">
            <v>75559</v>
          </cell>
        </row>
        <row r="20">
          <cell r="M20">
            <v>19165</v>
          </cell>
        </row>
        <row r="21">
          <cell r="M21">
            <v>87137</v>
          </cell>
        </row>
        <row r="24">
          <cell r="M24">
            <v>30610</v>
          </cell>
        </row>
        <row r="25">
          <cell r="M25">
            <v>7594</v>
          </cell>
        </row>
        <row r="26">
          <cell r="M26">
            <v>77751</v>
          </cell>
        </row>
        <row r="27">
          <cell r="M27">
            <v>20986</v>
          </cell>
        </row>
        <row r="28">
          <cell r="M28">
            <v>24921</v>
          </cell>
        </row>
        <row r="31">
          <cell r="M31">
            <v>19008</v>
          </cell>
        </row>
        <row r="32">
          <cell r="M32">
            <v>21327</v>
          </cell>
        </row>
        <row r="33">
          <cell r="M33">
            <v>22808</v>
          </cell>
        </row>
        <row r="34">
          <cell r="M34">
            <v>13564</v>
          </cell>
        </row>
        <row r="35">
          <cell r="M35">
            <v>10500</v>
          </cell>
        </row>
        <row r="38">
          <cell r="M38">
            <v>20966</v>
          </cell>
        </row>
        <row r="39">
          <cell r="M39">
            <v>57247</v>
          </cell>
        </row>
        <row r="40">
          <cell r="M40">
            <v>35903</v>
          </cell>
        </row>
        <row r="43">
          <cell r="M43">
            <v>37348</v>
          </cell>
        </row>
        <row r="44">
          <cell r="M44">
            <v>6127</v>
          </cell>
        </row>
        <row r="45">
          <cell r="M45">
            <v>9257</v>
          </cell>
        </row>
        <row r="46">
          <cell r="M46">
            <v>13414</v>
          </cell>
        </row>
        <row r="47">
          <cell r="M47">
            <v>30120</v>
          </cell>
        </row>
        <row r="50">
          <cell r="M50">
            <v>7200</v>
          </cell>
        </row>
        <row r="51">
          <cell r="M51">
            <v>20147</v>
          </cell>
        </row>
        <row r="52">
          <cell r="M52">
            <v>2051</v>
          </cell>
        </row>
        <row r="53">
          <cell r="M53">
            <v>14638</v>
          </cell>
        </row>
        <row r="56">
          <cell r="M56">
            <v>24018</v>
          </cell>
        </row>
        <row r="57">
          <cell r="M57">
            <v>7275</v>
          </cell>
        </row>
        <row r="60">
          <cell r="M60">
            <v>27234</v>
          </cell>
        </row>
        <row r="61">
          <cell r="M61">
            <v>5542</v>
          </cell>
        </row>
        <row r="62">
          <cell r="M62">
            <v>20746</v>
          </cell>
        </row>
        <row r="63">
          <cell r="M63">
            <v>16310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Ընդամենըբնակչություն"/>
      <sheetName val="Քաղաքային"/>
      <sheetName val="Գյուղական"/>
    </sheetNames>
    <sheetDataSet>
      <sheetData sheetId="0" refreshError="1"/>
      <sheetData sheetId="1" refreshError="1">
        <row r="21">
          <cell r="B21">
            <v>18834</v>
          </cell>
          <cell r="C21">
            <v>18838</v>
          </cell>
          <cell r="D21">
            <v>18868</v>
          </cell>
          <cell r="E21">
            <v>18697</v>
          </cell>
          <cell r="F21">
            <v>18458</v>
          </cell>
          <cell r="G21">
            <v>18005</v>
          </cell>
          <cell r="H21">
            <v>17600</v>
          </cell>
        </row>
        <row r="22">
          <cell r="B22">
            <v>6451</v>
          </cell>
          <cell r="C22">
            <v>6459</v>
          </cell>
          <cell r="D22">
            <v>6469</v>
          </cell>
          <cell r="E22">
            <v>6456</v>
          </cell>
          <cell r="F22">
            <v>6413</v>
          </cell>
          <cell r="G22">
            <v>6291</v>
          </cell>
          <cell r="H22">
            <v>6165</v>
          </cell>
        </row>
        <row r="23">
          <cell r="B23">
            <v>5310</v>
          </cell>
          <cell r="C23">
            <v>5315</v>
          </cell>
          <cell r="D23">
            <v>5294</v>
          </cell>
          <cell r="E23">
            <v>5164</v>
          </cell>
          <cell r="F23">
            <v>5025</v>
          </cell>
          <cell r="G23">
            <v>4753</v>
          </cell>
          <cell r="H23">
            <v>4529</v>
          </cell>
        </row>
        <row r="26">
          <cell r="B26">
            <v>22269</v>
          </cell>
          <cell r="C26">
            <v>22275</v>
          </cell>
          <cell r="D26">
            <v>22285</v>
          </cell>
          <cell r="E26">
            <v>22001</v>
          </cell>
          <cell r="F26">
            <v>21475</v>
          </cell>
          <cell r="G26">
            <v>20679</v>
          </cell>
          <cell r="H26">
            <v>20247</v>
          </cell>
        </row>
        <row r="27">
          <cell r="B27">
            <v>20235</v>
          </cell>
          <cell r="C27">
            <v>20244</v>
          </cell>
          <cell r="D27">
            <v>20306</v>
          </cell>
          <cell r="E27">
            <v>20345</v>
          </cell>
          <cell r="F27">
            <v>20369</v>
          </cell>
          <cell r="G27">
            <v>20366</v>
          </cell>
          <cell r="H27">
            <v>20366</v>
          </cell>
        </row>
        <row r="28">
          <cell r="B28">
            <v>11384</v>
          </cell>
          <cell r="C28">
            <v>11418</v>
          </cell>
          <cell r="D28">
            <v>11502</v>
          </cell>
          <cell r="E28">
            <v>11585</v>
          </cell>
          <cell r="F28">
            <v>11599</v>
          </cell>
          <cell r="G28">
            <v>11579</v>
          </cell>
          <cell r="H28">
            <v>11592</v>
          </cell>
        </row>
        <row r="29">
          <cell r="B29">
            <v>20215</v>
          </cell>
          <cell r="C29">
            <v>20247</v>
          </cell>
          <cell r="D29">
            <v>20393</v>
          </cell>
          <cell r="E29">
            <v>20481</v>
          </cell>
          <cell r="F29">
            <v>20533</v>
          </cell>
          <cell r="G29">
            <v>20484</v>
          </cell>
          <cell r="H29">
            <v>20481</v>
          </cell>
        </row>
        <row r="32">
          <cell r="B32">
            <v>29319</v>
          </cell>
          <cell r="C32">
            <v>29355</v>
          </cell>
          <cell r="D32">
            <v>29353</v>
          </cell>
          <cell r="E32">
            <v>29287</v>
          </cell>
          <cell r="F32">
            <v>29104</v>
          </cell>
          <cell r="G32">
            <v>28885</v>
          </cell>
          <cell r="H32">
            <v>28563</v>
          </cell>
        </row>
        <row r="33">
          <cell r="B33">
            <v>9191</v>
          </cell>
          <cell r="C33">
            <v>9208</v>
          </cell>
          <cell r="D33">
            <v>9217</v>
          </cell>
          <cell r="E33">
            <v>9204</v>
          </cell>
          <cell r="F33">
            <v>9107</v>
          </cell>
          <cell r="G33">
            <v>8988</v>
          </cell>
          <cell r="H33">
            <v>8816</v>
          </cell>
        </row>
        <row r="34">
          <cell r="B34">
            <v>46540</v>
          </cell>
          <cell r="C34">
            <v>46604</v>
          </cell>
          <cell r="D34">
            <v>46710</v>
          </cell>
          <cell r="E34">
            <v>46819</v>
          </cell>
          <cell r="F34">
            <v>46784</v>
          </cell>
          <cell r="G34">
            <v>46749</v>
          </cell>
          <cell r="H34">
            <v>46608</v>
          </cell>
        </row>
        <row r="37">
          <cell r="B37">
            <v>20765</v>
          </cell>
          <cell r="C37">
            <v>20759</v>
          </cell>
          <cell r="D37">
            <v>20626</v>
          </cell>
          <cell r="E37">
            <v>20346</v>
          </cell>
          <cell r="F37">
            <v>20001</v>
          </cell>
          <cell r="G37">
            <v>19490</v>
          </cell>
          <cell r="H37">
            <v>19069</v>
          </cell>
        </row>
        <row r="38">
          <cell r="B38">
            <v>5850</v>
          </cell>
          <cell r="C38">
            <v>5849</v>
          </cell>
          <cell r="D38">
            <v>5844</v>
          </cell>
          <cell r="E38">
            <v>5810</v>
          </cell>
          <cell r="F38">
            <v>5784</v>
          </cell>
          <cell r="G38">
            <v>5715</v>
          </cell>
          <cell r="H38">
            <v>5691</v>
          </cell>
        </row>
        <row r="39">
          <cell r="B39">
            <v>12894</v>
          </cell>
          <cell r="C39">
            <v>12916</v>
          </cell>
          <cell r="D39">
            <v>12879</v>
          </cell>
          <cell r="E39">
            <v>12698</v>
          </cell>
          <cell r="F39">
            <v>12509</v>
          </cell>
          <cell r="G39">
            <v>12209</v>
          </cell>
          <cell r="H39">
            <v>11960</v>
          </cell>
        </row>
        <row r="40">
          <cell r="B40">
            <v>19229</v>
          </cell>
          <cell r="C40">
            <v>19251</v>
          </cell>
          <cell r="D40">
            <v>19292</v>
          </cell>
          <cell r="E40">
            <v>19281</v>
          </cell>
          <cell r="F40">
            <v>19254</v>
          </cell>
          <cell r="G40">
            <v>19169</v>
          </cell>
          <cell r="H40">
            <v>19103</v>
          </cell>
        </row>
        <row r="41">
          <cell r="B41">
            <v>12685</v>
          </cell>
          <cell r="C41">
            <v>12681</v>
          </cell>
          <cell r="D41">
            <v>12701</v>
          </cell>
          <cell r="E41">
            <v>12665</v>
          </cell>
          <cell r="F41">
            <v>12646</v>
          </cell>
          <cell r="G41">
            <v>12597</v>
          </cell>
          <cell r="H41">
            <v>12550</v>
          </cell>
        </row>
        <row r="54">
          <cell r="B54">
            <v>41875</v>
          </cell>
          <cell r="C54">
            <v>41935</v>
          </cell>
          <cell r="D54">
            <v>42010</v>
          </cell>
          <cell r="E54">
            <v>41764</v>
          </cell>
          <cell r="F54">
            <v>41664</v>
          </cell>
          <cell r="G54">
            <v>41170</v>
          </cell>
          <cell r="H54">
            <v>40825</v>
          </cell>
        </row>
        <row r="55">
          <cell r="B55">
            <v>20363</v>
          </cell>
          <cell r="C55">
            <v>20381</v>
          </cell>
          <cell r="D55">
            <v>20436</v>
          </cell>
          <cell r="E55">
            <v>20470</v>
          </cell>
          <cell r="F55">
            <v>20545</v>
          </cell>
          <cell r="G55">
            <v>20490</v>
          </cell>
          <cell r="H55">
            <v>20457</v>
          </cell>
        </row>
        <row r="56">
          <cell r="B56">
            <v>1256</v>
          </cell>
          <cell r="C56">
            <v>1258</v>
          </cell>
          <cell r="D56">
            <v>1261</v>
          </cell>
          <cell r="E56">
            <v>1250</v>
          </cell>
          <cell r="F56">
            <v>1240</v>
          </cell>
          <cell r="G56">
            <v>1214</v>
          </cell>
          <cell r="H56">
            <v>1199</v>
          </cell>
        </row>
        <row r="57">
          <cell r="B57">
            <v>43495</v>
          </cell>
          <cell r="C57">
            <v>43554</v>
          </cell>
          <cell r="D57">
            <v>43856</v>
          </cell>
          <cell r="E57">
            <v>44021</v>
          </cell>
          <cell r="F57">
            <v>44314</v>
          </cell>
          <cell r="G57">
            <v>44417</v>
          </cell>
          <cell r="H57">
            <v>44533</v>
          </cell>
        </row>
        <row r="58">
          <cell r="B58">
            <v>9513</v>
          </cell>
          <cell r="C58">
            <v>9516</v>
          </cell>
          <cell r="D58">
            <v>9542</v>
          </cell>
          <cell r="E58">
            <v>9483</v>
          </cell>
          <cell r="F58">
            <v>9472</v>
          </cell>
          <cell r="G58">
            <v>9348</v>
          </cell>
          <cell r="H58">
            <v>9267</v>
          </cell>
        </row>
        <row r="59">
          <cell r="B59">
            <v>11672</v>
          </cell>
          <cell r="C59">
            <v>11684</v>
          </cell>
          <cell r="D59">
            <v>11768</v>
          </cell>
          <cell r="E59">
            <v>11792</v>
          </cell>
          <cell r="F59">
            <v>11847</v>
          </cell>
          <cell r="G59">
            <v>11880</v>
          </cell>
          <cell r="H59">
            <v>11896</v>
          </cell>
        </row>
        <row r="60">
          <cell r="B60">
            <v>9307</v>
          </cell>
          <cell r="C60">
            <v>9307</v>
          </cell>
          <cell r="D60">
            <v>9351</v>
          </cell>
          <cell r="E60">
            <v>9367</v>
          </cell>
          <cell r="F60">
            <v>9383</v>
          </cell>
          <cell r="G60">
            <v>9352</v>
          </cell>
          <cell r="H60">
            <v>9327</v>
          </cell>
        </row>
        <row r="63">
          <cell r="B63">
            <v>121976</v>
          </cell>
          <cell r="C63">
            <v>121945</v>
          </cell>
          <cell r="D63">
            <v>121342</v>
          </cell>
          <cell r="E63">
            <v>119885</v>
          </cell>
          <cell r="F63">
            <v>119034</v>
          </cell>
          <cell r="G63">
            <v>117714</v>
          </cell>
          <cell r="H63">
            <v>116031</v>
          </cell>
        </row>
        <row r="64">
          <cell r="B64">
            <v>5398</v>
          </cell>
          <cell r="C64">
            <v>5412</v>
          </cell>
          <cell r="D64">
            <v>5466</v>
          </cell>
          <cell r="E64">
            <v>5471</v>
          </cell>
          <cell r="F64">
            <v>5493</v>
          </cell>
          <cell r="G64">
            <v>5492</v>
          </cell>
          <cell r="H64">
            <v>5462</v>
          </cell>
        </row>
        <row r="65">
          <cell r="B65">
            <v>19534</v>
          </cell>
          <cell r="C65">
            <v>19539</v>
          </cell>
          <cell r="D65">
            <v>19458</v>
          </cell>
          <cell r="E65">
            <v>19159</v>
          </cell>
          <cell r="F65">
            <v>18998</v>
          </cell>
          <cell r="G65">
            <v>18757</v>
          </cell>
          <cell r="H65">
            <v>18414</v>
          </cell>
        </row>
        <row r="68">
          <cell r="B68">
            <v>43190</v>
          </cell>
          <cell r="C68">
            <v>43189</v>
          </cell>
          <cell r="D68">
            <v>43184</v>
          </cell>
          <cell r="E68">
            <v>42967</v>
          </cell>
          <cell r="F68">
            <v>42836</v>
          </cell>
          <cell r="G68">
            <v>42640</v>
          </cell>
          <cell r="H68">
            <v>42571</v>
          </cell>
        </row>
        <row r="69">
          <cell r="B69">
            <v>7163</v>
          </cell>
          <cell r="C69">
            <v>7159</v>
          </cell>
          <cell r="D69">
            <v>7170</v>
          </cell>
          <cell r="E69">
            <v>7129</v>
          </cell>
          <cell r="F69">
            <v>7097</v>
          </cell>
          <cell r="G69">
            <v>7061</v>
          </cell>
          <cell r="H69">
            <v>7050</v>
          </cell>
        </row>
        <row r="70">
          <cell r="B70">
            <v>20591</v>
          </cell>
          <cell r="C70">
            <v>20601</v>
          </cell>
          <cell r="D70">
            <v>20577</v>
          </cell>
          <cell r="E70">
            <v>20471</v>
          </cell>
          <cell r="F70">
            <v>20407</v>
          </cell>
          <cell r="G70">
            <v>20342</v>
          </cell>
          <cell r="H70">
            <v>20398</v>
          </cell>
        </row>
        <row r="71">
          <cell r="B71">
            <v>4580</v>
          </cell>
          <cell r="C71">
            <v>4584</v>
          </cell>
          <cell r="D71">
            <v>4594</v>
          </cell>
          <cell r="E71">
            <v>4565</v>
          </cell>
          <cell r="F71">
            <v>4555</v>
          </cell>
          <cell r="G71">
            <v>4542</v>
          </cell>
          <cell r="H71">
            <v>4522</v>
          </cell>
        </row>
        <row r="72">
          <cell r="B72">
            <v>4429</v>
          </cell>
          <cell r="C72">
            <v>4436</v>
          </cell>
          <cell r="D72">
            <v>4443</v>
          </cell>
          <cell r="E72">
            <v>4386</v>
          </cell>
          <cell r="F72">
            <v>4341</v>
          </cell>
          <cell r="G72">
            <v>4284</v>
          </cell>
          <cell r="H72">
            <v>4258</v>
          </cell>
        </row>
        <row r="73">
          <cell r="B73">
            <v>14894</v>
          </cell>
          <cell r="C73">
            <v>14904</v>
          </cell>
          <cell r="D73">
            <v>14926</v>
          </cell>
          <cell r="E73">
            <v>14901</v>
          </cell>
          <cell r="F73">
            <v>14885</v>
          </cell>
          <cell r="G73">
            <v>14856</v>
          </cell>
          <cell r="H73">
            <v>14835</v>
          </cell>
        </row>
        <row r="74">
          <cell r="B74">
            <v>323</v>
          </cell>
          <cell r="C74">
            <v>323</v>
          </cell>
          <cell r="D74">
            <v>321</v>
          </cell>
          <cell r="E74">
            <v>313</v>
          </cell>
          <cell r="F74">
            <v>309</v>
          </cell>
          <cell r="G74">
            <v>301</v>
          </cell>
          <cell r="H74">
            <v>298</v>
          </cell>
        </row>
        <row r="77">
          <cell r="B77">
            <v>7944</v>
          </cell>
          <cell r="C77">
            <v>7952</v>
          </cell>
          <cell r="D77">
            <v>7944</v>
          </cell>
          <cell r="E77">
            <v>7852</v>
          </cell>
          <cell r="F77">
            <v>7809</v>
          </cell>
          <cell r="G77">
            <v>7675</v>
          </cell>
          <cell r="H77">
            <v>7606</v>
          </cell>
        </row>
        <row r="78">
          <cell r="B78">
            <v>5877</v>
          </cell>
          <cell r="C78">
            <v>5880</v>
          </cell>
          <cell r="D78">
            <v>5870</v>
          </cell>
          <cell r="E78">
            <v>5818</v>
          </cell>
          <cell r="F78">
            <v>5797</v>
          </cell>
          <cell r="G78">
            <v>5702</v>
          </cell>
          <cell r="H78">
            <v>5688</v>
          </cell>
        </row>
        <row r="79">
          <cell r="B79">
            <v>4628</v>
          </cell>
          <cell r="C79">
            <v>4625</v>
          </cell>
          <cell r="D79">
            <v>4594</v>
          </cell>
          <cell r="E79">
            <v>4519</v>
          </cell>
          <cell r="F79">
            <v>4484</v>
          </cell>
          <cell r="G79">
            <v>4400</v>
          </cell>
          <cell r="H79">
            <v>4324</v>
          </cell>
        </row>
        <row r="82">
          <cell r="B82">
            <v>21081</v>
          </cell>
          <cell r="C82">
            <v>21102</v>
          </cell>
          <cell r="D82">
            <v>21135</v>
          </cell>
          <cell r="E82">
            <v>21021</v>
          </cell>
          <cell r="F82">
            <v>20913</v>
          </cell>
          <cell r="G82">
            <v>20723</v>
          </cell>
          <cell r="H82">
            <v>20610</v>
          </cell>
        </row>
        <row r="83">
          <cell r="B83">
            <v>17712</v>
          </cell>
          <cell r="C83">
            <v>17715</v>
          </cell>
          <cell r="D83">
            <v>17699</v>
          </cell>
          <cell r="E83">
            <v>17712</v>
          </cell>
          <cell r="F83">
            <v>17666</v>
          </cell>
          <cell r="G83">
            <v>17587</v>
          </cell>
          <cell r="H83">
            <v>17521</v>
          </cell>
        </row>
        <row r="84">
          <cell r="B84">
            <v>5310</v>
          </cell>
          <cell r="C84">
            <v>5299</v>
          </cell>
          <cell r="D84">
            <v>5269</v>
          </cell>
          <cell r="E84">
            <v>5205</v>
          </cell>
          <cell r="F84">
            <v>5104</v>
          </cell>
          <cell r="G84">
            <v>4930</v>
          </cell>
          <cell r="H84">
            <v>4800</v>
          </cell>
        </row>
        <row r="85">
          <cell r="B85">
            <v>2126</v>
          </cell>
          <cell r="C85">
            <v>2121</v>
          </cell>
          <cell r="D85">
            <v>2103</v>
          </cell>
          <cell r="E85">
            <v>2061</v>
          </cell>
          <cell r="F85">
            <v>2019</v>
          </cell>
          <cell r="G85">
            <v>1957</v>
          </cell>
          <cell r="H85">
            <v>1935</v>
          </cell>
        </row>
        <row r="86">
          <cell r="B86">
            <v>7957</v>
          </cell>
          <cell r="C86">
            <v>7953</v>
          </cell>
          <cell r="D86">
            <v>7934</v>
          </cell>
          <cell r="E86">
            <v>7887</v>
          </cell>
          <cell r="F86">
            <v>7834</v>
          </cell>
          <cell r="G86">
            <v>7746</v>
          </cell>
          <cell r="H86">
            <v>7679</v>
          </cell>
        </row>
      </sheetData>
      <sheetData sheetId="2" refreshError="1">
        <row r="8">
          <cell r="B8">
            <v>45453</v>
          </cell>
          <cell r="C8">
            <v>45487</v>
          </cell>
          <cell r="D8">
            <v>45306</v>
          </cell>
          <cell r="E8">
            <v>44849</v>
          </cell>
          <cell r="F8">
            <v>44301</v>
          </cell>
          <cell r="G8">
            <v>43704</v>
          </cell>
          <cell r="H8">
            <v>43234</v>
          </cell>
        </row>
        <row r="9">
          <cell r="B9">
            <v>15578</v>
          </cell>
          <cell r="C9">
            <v>15603</v>
          </cell>
          <cell r="D9">
            <v>15649</v>
          </cell>
          <cell r="E9">
            <v>15625</v>
          </cell>
          <cell r="F9">
            <v>15562</v>
          </cell>
          <cell r="G9">
            <v>15479</v>
          </cell>
          <cell r="H9">
            <v>15458</v>
          </cell>
        </row>
        <row r="10">
          <cell r="B10">
            <v>13250</v>
          </cell>
          <cell r="C10">
            <v>13276</v>
          </cell>
          <cell r="D10">
            <v>13361</v>
          </cell>
          <cell r="E10">
            <v>13378</v>
          </cell>
          <cell r="F10">
            <v>13448</v>
          </cell>
          <cell r="G10">
            <v>13485</v>
          </cell>
          <cell r="H10">
            <v>13530</v>
          </cell>
        </row>
        <row r="11">
          <cell r="B11">
            <v>28049</v>
          </cell>
          <cell r="C11">
            <v>28085</v>
          </cell>
          <cell r="D11">
            <v>28123</v>
          </cell>
          <cell r="E11">
            <v>28136</v>
          </cell>
          <cell r="F11">
            <v>28125</v>
          </cell>
          <cell r="G11">
            <v>28057</v>
          </cell>
          <cell r="H11">
            <v>28002</v>
          </cell>
        </row>
        <row r="14">
          <cell r="B14">
            <v>70744</v>
          </cell>
          <cell r="C14">
            <v>70797</v>
          </cell>
          <cell r="D14">
            <v>70761</v>
          </cell>
          <cell r="E14">
            <v>70320</v>
          </cell>
          <cell r="F14">
            <v>70062</v>
          </cell>
          <cell r="G14">
            <v>69730</v>
          </cell>
          <cell r="H14">
            <v>69557</v>
          </cell>
        </row>
        <row r="15">
          <cell r="B15">
            <v>57293</v>
          </cell>
          <cell r="C15">
            <v>57409</v>
          </cell>
          <cell r="D15">
            <v>57701</v>
          </cell>
          <cell r="E15">
            <v>57649</v>
          </cell>
          <cell r="F15">
            <v>57609</v>
          </cell>
          <cell r="G15">
            <v>57581</v>
          </cell>
          <cell r="H15">
            <v>57659</v>
          </cell>
        </row>
        <row r="16">
          <cell r="B16">
            <v>58227</v>
          </cell>
          <cell r="C16">
            <v>58244</v>
          </cell>
          <cell r="D16">
            <v>58387</v>
          </cell>
          <cell r="E16">
            <v>58406</v>
          </cell>
          <cell r="F16">
            <v>58455</v>
          </cell>
          <cell r="G16">
            <v>58492</v>
          </cell>
          <cell r="H16">
            <v>58505</v>
          </cell>
        </row>
        <row r="19">
          <cell r="B19">
            <v>73582</v>
          </cell>
          <cell r="C19">
            <v>73702</v>
          </cell>
          <cell r="D19">
            <v>74121</v>
          </cell>
          <cell r="E19">
            <v>74393</v>
          </cell>
          <cell r="F19">
            <v>74610</v>
          </cell>
          <cell r="G19">
            <v>74709</v>
          </cell>
          <cell r="H19">
            <v>74810</v>
          </cell>
        </row>
        <row r="20">
          <cell r="B20">
            <v>20291</v>
          </cell>
          <cell r="C20">
            <v>20336</v>
          </cell>
          <cell r="D20">
            <v>20415</v>
          </cell>
          <cell r="E20">
            <v>20190</v>
          </cell>
          <cell r="F20">
            <v>20071</v>
          </cell>
          <cell r="G20">
            <v>19973</v>
          </cell>
          <cell r="H20">
            <v>19721</v>
          </cell>
        </row>
        <row r="21">
          <cell r="B21">
            <v>86847</v>
          </cell>
          <cell r="C21">
            <v>86946</v>
          </cell>
          <cell r="D21">
            <v>87285</v>
          </cell>
          <cell r="E21">
            <v>87294</v>
          </cell>
          <cell r="F21">
            <v>87326</v>
          </cell>
          <cell r="G21">
            <v>87309</v>
          </cell>
          <cell r="H21">
            <v>87241</v>
          </cell>
        </row>
        <row r="24">
          <cell r="B24">
            <v>31922</v>
          </cell>
          <cell r="C24">
            <v>31968</v>
          </cell>
          <cell r="D24">
            <v>31975</v>
          </cell>
          <cell r="E24">
            <v>31644</v>
          </cell>
          <cell r="F24">
            <v>31419</v>
          </cell>
          <cell r="G24">
            <v>31254</v>
          </cell>
          <cell r="H24">
            <v>31107</v>
          </cell>
        </row>
        <row r="25">
          <cell r="B25">
            <v>7938</v>
          </cell>
          <cell r="C25">
            <v>7926</v>
          </cell>
          <cell r="D25">
            <v>7899</v>
          </cell>
          <cell r="E25">
            <v>7832</v>
          </cell>
          <cell r="F25">
            <v>7774</v>
          </cell>
          <cell r="G25">
            <v>7751</v>
          </cell>
          <cell r="H25">
            <v>7704</v>
          </cell>
        </row>
        <row r="26">
          <cell r="B26">
            <v>77330</v>
          </cell>
          <cell r="C26">
            <v>77545</v>
          </cell>
          <cell r="D26">
            <v>77781</v>
          </cell>
          <cell r="E26">
            <v>77419</v>
          </cell>
          <cell r="F26">
            <v>77349</v>
          </cell>
          <cell r="G26">
            <v>77393</v>
          </cell>
          <cell r="H26">
            <v>77343</v>
          </cell>
        </row>
        <row r="27">
          <cell r="B27">
            <v>20547</v>
          </cell>
          <cell r="C27">
            <v>20590</v>
          </cell>
          <cell r="D27">
            <v>20727</v>
          </cell>
          <cell r="E27">
            <v>20740</v>
          </cell>
          <cell r="F27">
            <v>20781</v>
          </cell>
          <cell r="G27">
            <v>20841</v>
          </cell>
          <cell r="H27">
            <v>20883</v>
          </cell>
        </row>
        <row r="28">
          <cell r="B28">
            <v>25915</v>
          </cell>
          <cell r="C28">
            <v>25895</v>
          </cell>
          <cell r="D28">
            <v>25863</v>
          </cell>
          <cell r="E28">
            <v>25644</v>
          </cell>
          <cell r="F28">
            <v>25471</v>
          </cell>
          <cell r="G28">
            <v>25375</v>
          </cell>
          <cell r="H28">
            <v>25305</v>
          </cell>
        </row>
        <row r="38">
          <cell r="B38">
            <v>21845</v>
          </cell>
          <cell r="C38">
            <v>21871</v>
          </cell>
          <cell r="D38">
            <v>21873</v>
          </cell>
          <cell r="E38">
            <v>21726</v>
          </cell>
          <cell r="F38">
            <v>21691</v>
          </cell>
          <cell r="G38">
            <v>21556</v>
          </cell>
          <cell r="H38">
            <v>21326</v>
          </cell>
        </row>
        <row r="39">
          <cell r="B39">
            <v>58081</v>
          </cell>
          <cell r="C39">
            <v>58108</v>
          </cell>
          <cell r="D39">
            <v>58148</v>
          </cell>
          <cell r="E39">
            <v>58076</v>
          </cell>
          <cell r="F39">
            <v>57934</v>
          </cell>
          <cell r="G39">
            <v>57770</v>
          </cell>
          <cell r="H39">
            <v>57521</v>
          </cell>
        </row>
        <row r="40">
          <cell r="B40">
            <v>36990</v>
          </cell>
          <cell r="C40">
            <v>37002</v>
          </cell>
          <cell r="D40">
            <v>37108</v>
          </cell>
          <cell r="E40">
            <v>37048</v>
          </cell>
          <cell r="F40">
            <v>36900</v>
          </cell>
          <cell r="G40">
            <v>36701</v>
          </cell>
          <cell r="H40">
            <v>36479</v>
          </cell>
        </row>
        <row r="43">
          <cell r="B43">
            <v>41546</v>
          </cell>
          <cell r="C43">
            <v>41598</v>
          </cell>
          <cell r="D43">
            <v>41433</v>
          </cell>
          <cell r="E43">
            <v>40925</v>
          </cell>
          <cell r="F43">
            <v>40409</v>
          </cell>
          <cell r="G43">
            <v>39612</v>
          </cell>
          <cell r="H43">
            <v>38772</v>
          </cell>
        </row>
        <row r="44">
          <cell r="B44">
            <v>6306</v>
          </cell>
          <cell r="C44">
            <v>6316</v>
          </cell>
          <cell r="D44">
            <v>6336</v>
          </cell>
          <cell r="E44">
            <v>6335</v>
          </cell>
          <cell r="F44">
            <v>6340</v>
          </cell>
          <cell r="G44">
            <v>6305</v>
          </cell>
          <cell r="H44">
            <v>6244</v>
          </cell>
        </row>
        <row r="45">
          <cell r="B45">
            <v>9090</v>
          </cell>
          <cell r="C45">
            <v>9099</v>
          </cell>
          <cell r="D45">
            <v>9161</v>
          </cell>
          <cell r="E45">
            <v>9214</v>
          </cell>
          <cell r="F45">
            <v>9261</v>
          </cell>
          <cell r="G45">
            <v>9281</v>
          </cell>
          <cell r="H45">
            <v>9308</v>
          </cell>
        </row>
        <row r="46">
          <cell r="B46">
            <v>13560</v>
          </cell>
          <cell r="C46">
            <v>13584</v>
          </cell>
          <cell r="D46">
            <v>13671</v>
          </cell>
          <cell r="E46">
            <v>13625</v>
          </cell>
          <cell r="F46">
            <v>13625</v>
          </cell>
          <cell r="G46">
            <v>13559</v>
          </cell>
          <cell r="H46">
            <v>13473</v>
          </cell>
        </row>
        <row r="47">
          <cell r="B47">
            <v>34531</v>
          </cell>
          <cell r="C47">
            <v>34600</v>
          </cell>
          <cell r="D47">
            <v>34400</v>
          </cell>
          <cell r="E47">
            <v>33767</v>
          </cell>
          <cell r="F47">
            <v>33249</v>
          </cell>
          <cell r="G47">
            <v>32432</v>
          </cell>
          <cell r="H47">
            <v>31574</v>
          </cell>
        </row>
        <row r="50">
          <cell r="B50">
            <v>8203</v>
          </cell>
          <cell r="C50">
            <v>8199</v>
          </cell>
          <cell r="D50">
            <v>8114</v>
          </cell>
          <cell r="E50">
            <v>8050</v>
          </cell>
          <cell r="F50">
            <v>7867</v>
          </cell>
          <cell r="G50">
            <v>7739</v>
          </cell>
          <cell r="H50">
            <v>7611</v>
          </cell>
        </row>
        <row r="51">
          <cell r="B51">
            <v>20982</v>
          </cell>
          <cell r="C51">
            <v>20982</v>
          </cell>
          <cell r="D51">
            <v>20938</v>
          </cell>
          <cell r="E51">
            <v>20895</v>
          </cell>
          <cell r="F51">
            <v>20686</v>
          </cell>
          <cell r="G51">
            <v>20595</v>
          </cell>
          <cell r="H51">
            <v>20427</v>
          </cell>
        </row>
        <row r="52">
          <cell r="B52">
            <v>2368</v>
          </cell>
          <cell r="C52">
            <v>2359</v>
          </cell>
          <cell r="D52">
            <v>2334</v>
          </cell>
          <cell r="E52">
            <v>2297</v>
          </cell>
          <cell r="F52">
            <v>2243</v>
          </cell>
          <cell r="G52">
            <v>2201</v>
          </cell>
          <cell r="H52">
            <v>2158</v>
          </cell>
        </row>
        <row r="53">
          <cell r="B53">
            <v>15048</v>
          </cell>
          <cell r="C53">
            <v>15011</v>
          </cell>
          <cell r="D53">
            <v>15044</v>
          </cell>
          <cell r="E53">
            <v>15027</v>
          </cell>
          <cell r="F53">
            <v>14956</v>
          </cell>
          <cell r="G53">
            <v>14910</v>
          </cell>
          <cell r="H53">
            <v>14825</v>
          </cell>
        </row>
        <row r="56">
          <cell r="B56">
            <v>26051</v>
          </cell>
          <cell r="C56">
            <v>26076</v>
          </cell>
          <cell r="D56">
            <v>26025</v>
          </cell>
          <cell r="E56">
            <v>25758</v>
          </cell>
          <cell r="F56">
            <v>25617</v>
          </cell>
          <cell r="G56">
            <v>25421</v>
          </cell>
          <cell r="H56">
            <v>25092</v>
          </cell>
        </row>
        <row r="57">
          <cell r="B57">
            <v>7824</v>
          </cell>
          <cell r="C57">
            <v>7834</v>
          </cell>
          <cell r="D57">
            <v>7819</v>
          </cell>
          <cell r="E57">
            <v>7755</v>
          </cell>
          <cell r="F57">
            <v>7699</v>
          </cell>
          <cell r="G57">
            <v>7638</v>
          </cell>
          <cell r="H57">
            <v>7567</v>
          </cell>
        </row>
        <row r="60">
          <cell r="B60">
            <v>26793</v>
          </cell>
          <cell r="C60">
            <v>26815</v>
          </cell>
          <cell r="D60">
            <v>26935</v>
          </cell>
          <cell r="E60">
            <v>26960</v>
          </cell>
          <cell r="F60">
            <v>26952</v>
          </cell>
          <cell r="G60">
            <v>26994</v>
          </cell>
          <cell r="H60">
            <v>27051</v>
          </cell>
        </row>
        <row r="61">
          <cell r="B61">
            <v>6248</v>
          </cell>
          <cell r="C61">
            <v>6260</v>
          </cell>
          <cell r="D61">
            <v>6219</v>
          </cell>
          <cell r="E61">
            <v>6128</v>
          </cell>
          <cell r="F61">
            <v>6039</v>
          </cell>
          <cell r="G61">
            <v>5938</v>
          </cell>
          <cell r="H61">
            <v>5838</v>
          </cell>
        </row>
        <row r="62">
          <cell r="B62">
            <v>21910</v>
          </cell>
          <cell r="C62">
            <v>21913</v>
          </cell>
          <cell r="D62">
            <v>21877</v>
          </cell>
          <cell r="E62">
            <v>21778</v>
          </cell>
          <cell r="F62">
            <v>21684</v>
          </cell>
          <cell r="G62">
            <v>21536</v>
          </cell>
          <cell r="H62">
            <v>21335</v>
          </cell>
        </row>
        <row r="63">
          <cell r="B63">
            <v>19472</v>
          </cell>
          <cell r="C63">
            <v>19443</v>
          </cell>
          <cell r="D63">
            <v>19171</v>
          </cell>
          <cell r="E63">
            <v>18822</v>
          </cell>
          <cell r="F63">
            <v>18466</v>
          </cell>
          <cell r="G63">
            <v>18103</v>
          </cell>
          <cell r="H63">
            <v>17706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0"/>
  <sheetViews>
    <sheetView tabSelected="1" topLeftCell="A7" zoomScaleNormal="115" workbookViewId="0">
      <selection activeCell="A27" sqref="A27"/>
    </sheetView>
  </sheetViews>
  <sheetFormatPr baseColWidth="10" defaultColWidth="9.1640625" defaultRowHeight="17"/>
  <cols>
    <col min="1" max="1" width="42.83203125" style="2" customWidth="1"/>
    <col min="2" max="2" width="17" style="13" customWidth="1"/>
    <col min="3" max="3" width="13.5" style="3" customWidth="1"/>
    <col min="4" max="4" width="15.5" style="2" customWidth="1"/>
    <col min="5" max="5" width="10.83203125" style="2" customWidth="1"/>
    <col min="6" max="6" width="11.1640625" style="2" customWidth="1"/>
    <col min="7" max="7" width="13.1640625" style="2" customWidth="1"/>
    <col min="8" max="8" width="15.83203125" style="2" customWidth="1"/>
    <col min="9" max="9" width="13.1640625" style="2" customWidth="1"/>
    <col min="10" max="10" width="13.83203125" style="2" customWidth="1"/>
    <col min="11" max="11" width="13.1640625" style="2" customWidth="1"/>
    <col min="12" max="13" width="14.1640625" style="2" customWidth="1"/>
    <col min="14" max="16384" width="9.1640625" style="2"/>
  </cols>
  <sheetData>
    <row r="1" spans="1:13" ht="19">
      <c r="A1" s="20" t="s">
        <v>124</v>
      </c>
      <c r="B1" s="2"/>
      <c r="C1" s="20"/>
      <c r="E1" s="20"/>
      <c r="I1" s="13"/>
      <c r="J1" s="13"/>
    </row>
    <row r="2" spans="1:13" ht="13.5" customHeight="1">
      <c r="A2" s="106" t="s">
        <v>114</v>
      </c>
      <c r="B2" s="106"/>
      <c r="C2" s="106"/>
      <c r="D2" s="106"/>
      <c r="E2" s="106"/>
      <c r="F2" s="106"/>
    </row>
    <row r="3" spans="1:13" ht="16.5" customHeight="1">
      <c r="B3" s="105"/>
      <c r="C3" s="105"/>
      <c r="D3" s="107"/>
      <c r="E3" s="107"/>
      <c r="F3" s="107"/>
      <c r="G3" s="35"/>
      <c r="L3" s="35"/>
      <c r="M3" s="35" t="s">
        <v>125</v>
      </c>
    </row>
    <row r="4" spans="1:13" ht="15">
      <c r="A4" s="26" t="s">
        <v>52</v>
      </c>
      <c r="B4" s="23" t="s">
        <v>121</v>
      </c>
      <c r="C4" s="23">
        <v>2012</v>
      </c>
      <c r="D4" s="23">
        <v>2013</v>
      </c>
      <c r="E4" s="31">
        <v>2014</v>
      </c>
      <c r="F4" s="31">
        <v>2015</v>
      </c>
      <c r="G4" s="36">
        <v>2016</v>
      </c>
      <c r="H4" s="36">
        <v>2017</v>
      </c>
      <c r="I4" s="36">
        <v>2018</v>
      </c>
      <c r="J4" s="37">
        <v>2019</v>
      </c>
      <c r="K4" s="36">
        <v>2020</v>
      </c>
      <c r="L4" s="36">
        <v>2021</v>
      </c>
      <c r="M4" s="36">
        <v>2022</v>
      </c>
    </row>
    <row r="5" spans="1:13" s="8" customFormat="1">
      <c r="A5" s="44" t="s">
        <v>1</v>
      </c>
      <c r="B5" s="45">
        <f t="shared" ref="B5:H5" si="0">B6+B8+B14+B19+B24+B31+B39+B44+B52+B58+B62</f>
        <v>3018854</v>
      </c>
      <c r="C5" s="45">
        <f t="shared" si="0"/>
        <v>3021376</v>
      </c>
      <c r="D5" s="45">
        <f t="shared" si="0"/>
        <v>3026879</v>
      </c>
      <c r="E5" s="45">
        <f t="shared" si="0"/>
        <v>3017079</v>
      </c>
      <c r="F5" s="45">
        <f t="shared" si="0"/>
        <v>3010598</v>
      </c>
      <c r="G5" s="45">
        <f t="shared" si="0"/>
        <v>2998577</v>
      </c>
      <c r="H5" s="45">
        <f t="shared" si="0"/>
        <v>2986151</v>
      </c>
      <c r="I5" s="45">
        <f>I6+I8+I14+I19+I24+I31+I39+I44+I52+I58+I62</f>
        <v>2972732</v>
      </c>
      <c r="J5" s="45">
        <f>J6+J8+J14+J19+J24+J31+J39+J44+J52+J58+J62</f>
        <v>2965269</v>
      </c>
      <c r="K5" s="45">
        <f>K6+K8+K14+K19+K24+K31+K39+K44+K52+K58+K62</f>
        <v>2959694</v>
      </c>
      <c r="L5" s="45">
        <f>L6+L8+L14+L19+L24+L31+L39+L44+L52+L58+L62</f>
        <v>2963251</v>
      </c>
      <c r="M5" s="45">
        <f>M6+M8+M14+M19+M24+M31+M39+M44+M52+M58+M62</f>
        <v>2961367</v>
      </c>
    </row>
    <row r="6" spans="1:13" s="8" customFormat="1">
      <c r="A6" s="46" t="s">
        <v>115</v>
      </c>
      <c r="B6" s="47">
        <f>Urbanpopulation!B6</f>
        <v>1060138</v>
      </c>
      <c r="C6" s="47">
        <f>Urbanpopulation!C6</f>
        <v>1061044</v>
      </c>
      <c r="D6" s="47">
        <f>Urbanpopulation!D6</f>
        <v>1066264</v>
      </c>
      <c r="E6" s="47">
        <f>Urbanpopulation!E6</f>
        <v>1068306</v>
      </c>
      <c r="F6" s="47">
        <f>Urbanpopulation!F6</f>
        <v>1071511</v>
      </c>
      <c r="G6" s="47">
        <f>[1]Քաղաքային!G6</f>
        <v>1073660</v>
      </c>
      <c r="H6" s="47">
        <f>[2]Քաղաքային!H6</f>
        <v>1075841</v>
      </c>
      <c r="I6" s="47">
        <f>[3]Քաղաքային!I6</f>
        <v>1077590</v>
      </c>
      <c r="J6" s="47">
        <f>[4]Քաղաքային!J6</f>
        <v>1081874</v>
      </c>
      <c r="K6" s="47">
        <f>[5]Քաղաքային!K6</f>
        <v>1084024</v>
      </c>
      <c r="L6" s="47">
        <f>[6]Քաղաքային!L6</f>
        <v>1091747</v>
      </c>
      <c r="M6" s="47">
        <f>[7]Քաղաքային!M6</f>
        <v>1092778</v>
      </c>
    </row>
    <row r="7" spans="1:13" s="8" customFormat="1" ht="14.25" customHeight="1">
      <c r="A7" s="31"/>
      <c r="B7" s="47"/>
      <c r="C7" s="47"/>
      <c r="D7" s="47"/>
      <c r="E7" s="47"/>
      <c r="F7" s="47"/>
      <c r="G7" s="31"/>
      <c r="H7" s="31"/>
      <c r="I7" s="31"/>
      <c r="J7" s="31"/>
      <c r="K7" s="31"/>
      <c r="L7" s="31"/>
      <c r="M7" s="2"/>
    </row>
    <row r="8" spans="1:13" s="4" customFormat="1">
      <c r="A8" s="44" t="s">
        <v>2</v>
      </c>
      <c r="B8" s="45">
        <f t="shared" ref="B8:H8" si="1">B9+B10+B11+B12</f>
        <v>132925</v>
      </c>
      <c r="C8" s="45">
        <f t="shared" si="1"/>
        <v>133063</v>
      </c>
      <c r="D8" s="45">
        <f t="shared" si="1"/>
        <v>133070</v>
      </c>
      <c r="E8" s="45">
        <f t="shared" si="1"/>
        <v>132305</v>
      </c>
      <c r="F8" s="45">
        <f t="shared" si="1"/>
        <v>131332</v>
      </c>
      <c r="G8" s="45">
        <f t="shared" si="1"/>
        <v>129774</v>
      </c>
      <c r="H8" s="45">
        <f t="shared" si="1"/>
        <v>128518</v>
      </c>
      <c r="I8" s="45">
        <f>I9+I10+I11+I12</f>
        <v>127146</v>
      </c>
      <c r="J8" s="45">
        <f>J9+J10+J11+J12</f>
        <v>125440</v>
      </c>
      <c r="K8" s="45">
        <f>K9+K10+K11+K12</f>
        <v>124721</v>
      </c>
      <c r="L8" s="45">
        <f>L9+L10+L11+L12</f>
        <v>124446</v>
      </c>
      <c r="M8" s="45">
        <f>M9+M10+M11+M12</f>
        <v>124646</v>
      </c>
    </row>
    <row r="9" spans="1:13" s="9" customFormat="1" ht="16">
      <c r="A9" s="48" t="s">
        <v>3</v>
      </c>
      <c r="B9" s="49">
        <f>[8]Քաղաքային!B21+[8]Գյուղական!B8</f>
        <v>64287</v>
      </c>
      <c r="C9" s="49">
        <f>[8]Քաղաքային!C21+[8]Գյուղական!C8</f>
        <v>64325</v>
      </c>
      <c r="D9" s="49">
        <f>[8]Քաղաքային!D21+[8]Գյուղական!D8</f>
        <v>64174</v>
      </c>
      <c r="E9" s="49">
        <f>[8]Քաղաքային!E21+[8]Գյուղական!E8</f>
        <v>63546</v>
      </c>
      <c r="F9" s="49">
        <f>[8]Քաղաքային!F21+[8]Գյուղական!F8</f>
        <v>62759</v>
      </c>
      <c r="G9" s="49">
        <f>[8]Քաղաքային!G21+[8]Գյուղական!G8</f>
        <v>61709</v>
      </c>
      <c r="H9" s="49">
        <f>[8]Քաղաքային!H21+[8]Գյուղական!H8</f>
        <v>60834</v>
      </c>
      <c r="I9" s="50">
        <f>[3]Քաղաքային!I21+[3]Գյուղական!I8</f>
        <v>59916</v>
      </c>
      <c r="J9" s="50">
        <v>58799</v>
      </c>
      <c r="K9" s="50">
        <f>[5]Քաղաքային!K21+[5]Գյուղական!K8</f>
        <v>58322</v>
      </c>
      <c r="L9" s="50">
        <f>[6]Քաղաքային!L21+[6]Գյուղական!L8</f>
        <v>58261</v>
      </c>
      <c r="M9" s="50">
        <f>[7]Քաղաքային!M21+[7]Գյուղական!M8</f>
        <v>58319</v>
      </c>
    </row>
    <row r="10" spans="1:13">
      <c r="A10" s="51" t="s">
        <v>4</v>
      </c>
      <c r="B10" s="52">
        <f>[8]Քաղաքային!B22+[8]Գյուղական!B9</f>
        <v>22029</v>
      </c>
      <c r="C10" s="52">
        <f>[8]Քաղաքային!C22+[8]Գյուղական!C9</f>
        <v>22062</v>
      </c>
      <c r="D10" s="52">
        <f>[8]Քաղաքային!D22+[8]Գյուղական!D9</f>
        <v>22118</v>
      </c>
      <c r="E10" s="52">
        <f>[8]Քաղաքային!E22+[8]Գյուղական!E9</f>
        <v>22081</v>
      </c>
      <c r="F10" s="52">
        <f>[8]Քաղաքային!F22+[8]Գյուղական!F9</f>
        <v>21975</v>
      </c>
      <c r="G10" s="52">
        <f>[8]Քաղաքային!G22+[8]Գյուղական!G9</f>
        <v>21770</v>
      </c>
      <c r="H10" s="52">
        <f>[8]Քաղաքային!H22+[8]Գյուղական!H9</f>
        <v>21623</v>
      </c>
      <c r="I10" s="52">
        <f>[3]Քաղաքային!I22+[3]Գյուղական!I9</f>
        <v>21446</v>
      </c>
      <c r="J10" s="52">
        <f>[4]Քաղաքային!J22+[4]Գյուղական!J9</f>
        <v>21184</v>
      </c>
      <c r="K10" s="52">
        <f>[5]Քաղաքային!K22+[5]Գյուղական!K9</f>
        <v>21128</v>
      </c>
      <c r="L10" s="52">
        <f>[6]Քաղաքային!L22+[6]Գյուղական!L9</f>
        <v>21071</v>
      </c>
      <c r="M10" s="52">
        <f>[7]Քաղաքային!M22+[7]Գյուղական!M9</f>
        <v>21122</v>
      </c>
    </row>
    <row r="11" spans="1:13">
      <c r="A11" s="51" t="s">
        <v>5</v>
      </c>
      <c r="B11" s="53">
        <f>[8]Գյուղական!B10</f>
        <v>13250</v>
      </c>
      <c r="C11" s="53">
        <f>[8]Գյուղական!C10</f>
        <v>13276</v>
      </c>
      <c r="D11" s="53">
        <f>[8]Գյուղական!D10</f>
        <v>13361</v>
      </c>
      <c r="E11" s="53">
        <f>[8]Գյուղական!E10</f>
        <v>13378</v>
      </c>
      <c r="F11" s="53">
        <f>[8]Գյուղական!F10</f>
        <v>13448</v>
      </c>
      <c r="G11" s="53">
        <f>[8]Գյուղական!G10</f>
        <v>13485</v>
      </c>
      <c r="H11" s="53">
        <f>[8]Գյուղական!H10</f>
        <v>13530</v>
      </c>
      <c r="I11" s="53">
        <f>[3]Գյուղական!I10</f>
        <v>13553</v>
      </c>
      <c r="J11" s="53">
        <f>[4]Գյուղական!J10</f>
        <v>13522</v>
      </c>
      <c r="K11" s="53">
        <f>[5]Գյուղական!K10</f>
        <v>13526</v>
      </c>
      <c r="L11" s="53">
        <f>[6]Գյուղական!L10</f>
        <v>13463</v>
      </c>
      <c r="M11" s="53">
        <f>[7]Գյուղական!M10</f>
        <v>13494</v>
      </c>
    </row>
    <row r="12" spans="1:13" s="9" customFormat="1">
      <c r="A12" s="51" t="s">
        <v>6</v>
      </c>
      <c r="B12" s="53">
        <f>[8]Քաղաքային!B23+[8]Գյուղական!B11</f>
        <v>33359</v>
      </c>
      <c r="C12" s="53">
        <f>[8]Քաղաքային!C23+[8]Գյուղական!C11</f>
        <v>33400</v>
      </c>
      <c r="D12" s="53">
        <f>[8]Քաղաքային!D23+[8]Գյուղական!D11</f>
        <v>33417</v>
      </c>
      <c r="E12" s="53">
        <f>[8]Քաղաքային!E23+[8]Գյուղական!E11</f>
        <v>33300</v>
      </c>
      <c r="F12" s="53">
        <f>[8]Քաղաքային!F23+[8]Գյուղական!F11</f>
        <v>33150</v>
      </c>
      <c r="G12" s="53">
        <f>[8]Քաղաքային!G23+[8]Գյուղական!G11</f>
        <v>32810</v>
      </c>
      <c r="H12" s="53">
        <f>[8]Քաղաքային!H23+[8]Գյուղական!H11</f>
        <v>32531</v>
      </c>
      <c r="I12" s="53">
        <f>[3]Քաղաքային!I23+[3]Գյուղական!I11</f>
        <v>32231</v>
      </c>
      <c r="J12" s="53">
        <f>[4]Քաղաքային!J23+[4]Գյուղական!J11</f>
        <v>31935</v>
      </c>
      <c r="K12" s="53">
        <f>[5]Քաղաքային!K23+[5]Գյուղական!K11</f>
        <v>31745</v>
      </c>
      <c r="L12" s="53">
        <f>[6]Քաղաքային!L23+[6]Գյուղական!L11</f>
        <v>31651</v>
      </c>
      <c r="M12" s="53">
        <f>[7]Քաղաքային!M23+[7]Գյուղական!M11</f>
        <v>31711</v>
      </c>
    </row>
    <row r="13" spans="1:13" ht="10.5" customHeight="1">
      <c r="A13" s="31"/>
      <c r="B13" s="54"/>
      <c r="C13" s="55"/>
      <c r="D13" s="54"/>
      <c r="E13" s="31"/>
      <c r="F13" s="31"/>
      <c r="G13" s="31"/>
      <c r="H13" s="31"/>
      <c r="I13" s="31"/>
      <c r="J13" s="31"/>
      <c r="K13" s="31"/>
      <c r="L13" s="31"/>
    </row>
    <row r="14" spans="1:13" s="4" customFormat="1">
      <c r="A14" s="44" t="s">
        <v>7</v>
      </c>
      <c r="B14" s="45">
        <f t="shared" ref="B14:H14" si="2">B15+B16+B17</f>
        <v>260367</v>
      </c>
      <c r="C14" s="45">
        <f t="shared" si="2"/>
        <v>260634</v>
      </c>
      <c r="D14" s="45">
        <f t="shared" si="2"/>
        <v>261335</v>
      </c>
      <c r="E14" s="45">
        <f t="shared" si="2"/>
        <v>260787</v>
      </c>
      <c r="F14" s="45">
        <f t="shared" si="2"/>
        <v>260102</v>
      </c>
      <c r="G14" s="45">
        <f t="shared" si="2"/>
        <v>258911</v>
      </c>
      <c r="H14" s="45">
        <f t="shared" si="2"/>
        <v>258407</v>
      </c>
      <c r="I14" s="45">
        <f>I15+I16+I17</f>
        <v>257804</v>
      </c>
      <c r="J14" s="45">
        <f>J15+J16+J17</f>
        <v>256688</v>
      </c>
      <c r="K14" s="45">
        <f>K15+K16+K17</f>
        <v>256570</v>
      </c>
      <c r="L14" s="45">
        <f>L15+L16+L17</f>
        <v>256630</v>
      </c>
      <c r="M14" s="45">
        <f>M15+M16+M17</f>
        <v>256615</v>
      </c>
    </row>
    <row r="15" spans="1:13" s="9" customFormat="1">
      <c r="A15" s="48" t="s">
        <v>8</v>
      </c>
      <c r="B15" s="53">
        <f>[8]Քաղաքային!B26+[8]Գյուղական!B14</f>
        <v>93013</v>
      </c>
      <c r="C15" s="53">
        <f>[8]Քաղաքային!C26+[8]Գյուղական!C14</f>
        <v>93072</v>
      </c>
      <c r="D15" s="53">
        <f>[8]Քաղաքային!D26+[8]Գյուղական!D14</f>
        <v>93046</v>
      </c>
      <c r="E15" s="53">
        <f>[8]Քաղաքային!E26+[8]Գյուղական!E14</f>
        <v>92321</v>
      </c>
      <c r="F15" s="53">
        <f>[8]Քաղաքային!F26+[8]Գյուղական!F14</f>
        <v>91537</v>
      </c>
      <c r="G15" s="53">
        <f>[8]Քաղաքային!G26+[8]Գյուղական!G14</f>
        <v>90409</v>
      </c>
      <c r="H15" s="53">
        <f>[8]Քաղաքային!H26+[8]Գյուղական!H14</f>
        <v>89804</v>
      </c>
      <c r="I15" s="53">
        <f>[3]Քաղաքային!I26+[3]Գյուղական!I14</f>
        <v>89070</v>
      </c>
      <c r="J15" s="53">
        <f>[4]Քաղաքային!J26+[4]Գյուղական!J14</f>
        <v>88118</v>
      </c>
      <c r="K15" s="53">
        <f>[5]Քաղաքային!K26+[5]Գյուղական!K14</f>
        <v>87820</v>
      </c>
      <c r="L15" s="53">
        <f>[6]Քաղաքային!L26+[6]Գյուղական!L14</f>
        <v>87633</v>
      </c>
      <c r="M15" s="53">
        <f>[7]Քաղաքային!M26+[7]Գյուղական!M14</f>
        <v>87476</v>
      </c>
    </row>
    <row r="16" spans="1:13" s="9" customFormat="1">
      <c r="A16" s="48" t="s">
        <v>9</v>
      </c>
      <c r="B16" s="52">
        <f>[8]Քաղաքային!B27+[8]Քաղաքային!B28+[8]Գյուղական!B15</f>
        <v>88912</v>
      </c>
      <c r="C16" s="52">
        <f>[8]Քաղաքային!C27+[8]Քաղաքային!C28+[8]Գյուղական!C15</f>
        <v>89071</v>
      </c>
      <c r="D16" s="52">
        <f>[8]Քաղաքային!D27+[8]Քաղաքային!D28+[8]Գյուղական!D15</f>
        <v>89509</v>
      </c>
      <c r="E16" s="52">
        <f>[8]Քաղաքային!E27+[8]Քաղաքային!E28+[8]Գյուղական!E15</f>
        <v>89579</v>
      </c>
      <c r="F16" s="52">
        <f>[8]Քաղաքային!F27+[8]Քաղաքային!F28+[8]Գյուղական!F15</f>
        <v>89577</v>
      </c>
      <c r="G16" s="52">
        <f>[8]Քաղաքային!G27+[8]Քաղաքային!G28+[8]Գյուղական!G15</f>
        <v>89526</v>
      </c>
      <c r="H16" s="52">
        <f>[8]Քաղաքային!H27+[8]Քաղաքային!H28+[8]Գյուղական!H15</f>
        <v>89617</v>
      </c>
      <c r="I16" s="52">
        <f>[3]Քաղաքային!I27+[3]Քաղաքային!I28+[3]Գյուղական!I15</f>
        <v>89759</v>
      </c>
      <c r="J16" s="52">
        <f>[4]Քաղաքային!J27+[4]Քաղաքային!J28+[4]Գյուղական!J15</f>
        <v>89626</v>
      </c>
      <c r="K16" s="52">
        <f>[5]Քաղաքային!K27+[5]Քաղաքային!K28+[5]Գյուղական!K15</f>
        <v>89694</v>
      </c>
      <c r="L16" s="52">
        <f>[6]Քաղաքային!L27+[6]Քաղաքային!L28+[6]Գյուղական!L15</f>
        <v>89675</v>
      </c>
      <c r="M16" s="52">
        <f>[7]Քաղաքային!M27+[7]Քաղաքային!M28+[7]Գյուղական!M15</f>
        <v>89721</v>
      </c>
    </row>
    <row r="17" spans="1:13" s="9" customFormat="1">
      <c r="A17" s="48" t="s">
        <v>10</v>
      </c>
      <c r="B17" s="53">
        <f>[8]Քաղաքային!B29+[8]Գյուղական!B16</f>
        <v>78442</v>
      </c>
      <c r="C17" s="53">
        <f>[8]Քաղաքային!C29+[8]Գյուղական!C16</f>
        <v>78491</v>
      </c>
      <c r="D17" s="53">
        <f>[8]Քաղաքային!D29+[8]Գյուղական!D16</f>
        <v>78780</v>
      </c>
      <c r="E17" s="53">
        <f>[8]Քաղաքային!E29+[8]Գյուղական!E16</f>
        <v>78887</v>
      </c>
      <c r="F17" s="53">
        <f>[8]Քաղաքային!F29+[8]Գյուղական!F16</f>
        <v>78988</v>
      </c>
      <c r="G17" s="53">
        <f>[8]Քաղաքային!G29+[8]Գյուղական!G16</f>
        <v>78976</v>
      </c>
      <c r="H17" s="53">
        <f>[8]Քաղաքային!H29+[8]Գյուղական!H16</f>
        <v>78986</v>
      </c>
      <c r="I17" s="53">
        <f>[3]Քաղաքային!I29+[3]Գյուղական!I16</f>
        <v>78975</v>
      </c>
      <c r="J17" s="53">
        <f>[4]Քաղաքային!J29+[4]Գյուղական!J16</f>
        <v>78944</v>
      </c>
      <c r="K17" s="53">
        <f>[5]Քաղաքային!K29+[5]Գյուղական!K16</f>
        <v>79056</v>
      </c>
      <c r="L17" s="53">
        <f>[6]Քաղաքային!L29+[6]Գյուղական!L16</f>
        <v>79322</v>
      </c>
      <c r="M17" s="53">
        <f>[7]Քաղաքային!M29+[7]Գյուղական!M16</f>
        <v>79418</v>
      </c>
    </row>
    <row r="18" spans="1:13" ht="9" customHeight="1">
      <c r="A18" s="31"/>
      <c r="B18" s="54"/>
      <c r="C18" s="55"/>
      <c r="D18" s="54"/>
      <c r="E18" s="54"/>
      <c r="F18" s="54"/>
      <c r="G18" s="31"/>
      <c r="H18" s="31"/>
      <c r="I18" s="31"/>
      <c r="J18" s="31"/>
      <c r="K18" s="31"/>
      <c r="L18" s="31"/>
    </row>
    <row r="19" spans="1:13" s="4" customFormat="1">
      <c r="A19" s="44" t="s">
        <v>11</v>
      </c>
      <c r="B19" s="47">
        <f t="shared" ref="B19:H19" si="3">B20+B21+B22</f>
        <v>265770</v>
      </c>
      <c r="C19" s="47">
        <f t="shared" si="3"/>
        <v>266151</v>
      </c>
      <c r="D19" s="47">
        <f t="shared" si="3"/>
        <v>267101</v>
      </c>
      <c r="E19" s="47">
        <f t="shared" si="3"/>
        <v>267187</v>
      </c>
      <c r="F19" s="47">
        <f t="shared" si="3"/>
        <v>267002</v>
      </c>
      <c r="G19" s="47">
        <f t="shared" si="3"/>
        <v>266613</v>
      </c>
      <c r="H19" s="47">
        <f t="shared" si="3"/>
        <v>265759</v>
      </c>
      <c r="I19" s="47">
        <f>I20+I21+I22</f>
        <v>264617</v>
      </c>
      <c r="J19" s="47">
        <f>J20+J21+J22</f>
        <v>263900</v>
      </c>
      <c r="K19" s="47">
        <f>K20+K21+K22</f>
        <v>263863</v>
      </c>
      <c r="L19" s="47">
        <f>L20+L21+L22</f>
        <v>263944</v>
      </c>
      <c r="M19" s="47">
        <f>M20+M21+M22</f>
        <v>264383</v>
      </c>
    </row>
    <row r="20" spans="1:13" s="9" customFormat="1" ht="15.75" customHeight="1">
      <c r="A20" s="48" t="s">
        <v>12</v>
      </c>
      <c r="B20" s="53">
        <f>[8]Քաղաքային!B32+[8]Քաղաքային!B33+[8]Գյուղական!B19</f>
        <v>112092</v>
      </c>
      <c r="C20" s="53">
        <f>[8]Քաղաքային!C32+[8]Քաղաքային!C33+[8]Գյուղական!C19</f>
        <v>112265</v>
      </c>
      <c r="D20" s="53">
        <f>[8]Քաղաքային!D32+[8]Քաղաքային!D33+[8]Գյուղական!D19</f>
        <v>112691</v>
      </c>
      <c r="E20" s="53">
        <f>[8]Քաղաքային!E32+[8]Քաղաքային!E33+[8]Գյուղական!E19</f>
        <v>112884</v>
      </c>
      <c r="F20" s="53">
        <f>[8]Քաղաքային!F32+[8]Քաղաքային!F33+[8]Գյուղական!F19</f>
        <v>112821</v>
      </c>
      <c r="G20" s="53">
        <f>[8]Քաղաքային!G32+[8]Քաղաքային!G33+[8]Գյուղական!G19</f>
        <v>112582</v>
      </c>
      <c r="H20" s="53">
        <f>[8]Քաղաքային!H32+[8]Քաղաքային!H33+[8]Գյուղական!H19</f>
        <v>112189</v>
      </c>
      <c r="I20" s="53">
        <f>[3]Քաղաքային!I32+[3]Քաղաքային!I33+[3]Գյուղական!I19</f>
        <v>111693</v>
      </c>
      <c r="J20" s="53">
        <f>[4]Քաղաքային!J32+[4]Քաղաքային!J33+[4]Գյուղական!J19</f>
        <v>111459</v>
      </c>
      <c r="K20" s="53">
        <f>[5]Քաղաքային!K32+[5]Քաղաքային!K33+[5]Գյուղական!K19</f>
        <v>111479</v>
      </c>
      <c r="L20" s="53">
        <f>[6]Քաղաքային!L32+[6]Քաղաքային!L33+[6]Գյուղական!L19</f>
        <v>111347</v>
      </c>
      <c r="M20" s="53">
        <f>[7]Քաղաքային!M32+[7]Քաղաքային!M33+[7]Գյուղական!M19</f>
        <v>111725</v>
      </c>
    </row>
    <row r="21" spans="1:13" s="11" customFormat="1">
      <c r="A21" s="48" t="s">
        <v>13</v>
      </c>
      <c r="B21" s="53">
        <f>[8]Գյուղական!B20</f>
        <v>20291</v>
      </c>
      <c r="C21" s="53">
        <f>[8]Գյուղական!C20</f>
        <v>20336</v>
      </c>
      <c r="D21" s="53">
        <f>[8]Գյուղական!D20</f>
        <v>20415</v>
      </c>
      <c r="E21" s="53">
        <f>[8]Գյուղական!E20</f>
        <v>20190</v>
      </c>
      <c r="F21" s="53">
        <f>[8]Գյուղական!F20</f>
        <v>20071</v>
      </c>
      <c r="G21" s="53">
        <f>[8]Գյուղական!G20</f>
        <v>19973</v>
      </c>
      <c r="H21" s="53">
        <f>[8]Գյուղական!H20</f>
        <v>19721</v>
      </c>
      <c r="I21" s="53">
        <f>[3]Գյուղական!I20</f>
        <v>19506</v>
      </c>
      <c r="J21" s="53">
        <f>[4]Գյուղական!J20</f>
        <v>19302</v>
      </c>
      <c r="K21" s="53">
        <f>[5]Գյուղական!K20</f>
        <v>19230</v>
      </c>
      <c r="L21" s="53">
        <f>[6]Գյուղական!L20</f>
        <v>19198</v>
      </c>
      <c r="M21" s="53">
        <f>[7]Գյուղական!M20</f>
        <v>19165</v>
      </c>
    </row>
    <row r="22" spans="1:13" s="11" customFormat="1">
      <c r="A22" s="48" t="s">
        <v>14</v>
      </c>
      <c r="B22" s="53">
        <f>[8]Քաղաքային!B34+[8]Գյուղական!B21</f>
        <v>133387</v>
      </c>
      <c r="C22" s="53">
        <f>[8]Քաղաքային!C34+[8]Գյուղական!C21</f>
        <v>133550</v>
      </c>
      <c r="D22" s="53">
        <f>[8]Քաղաքային!D34+[8]Գյուղական!D21</f>
        <v>133995</v>
      </c>
      <c r="E22" s="53">
        <f>[8]Քաղաքային!E34+[8]Գյուղական!E21</f>
        <v>134113</v>
      </c>
      <c r="F22" s="53">
        <f>[8]Քաղաքային!F34+[8]Գյուղական!F21</f>
        <v>134110</v>
      </c>
      <c r="G22" s="53">
        <f>[8]Քաղաքային!G34+[8]Գյուղական!G21</f>
        <v>134058</v>
      </c>
      <c r="H22" s="53">
        <f>[8]Քաղաքային!H34+[8]Գյուղական!H21</f>
        <v>133849</v>
      </c>
      <c r="I22" s="53">
        <f>[3]Քաղաքային!I34+[3]Գյուղական!I21</f>
        <v>133418</v>
      </c>
      <c r="J22" s="53">
        <f>[4]Քաղաքային!J34+[4]Գյուղական!J21</f>
        <v>133139</v>
      </c>
      <c r="K22" s="53">
        <f>[5]Քաղաքային!K34+[5]Գյուղական!K21</f>
        <v>133154</v>
      </c>
      <c r="L22" s="53">
        <f>[6]Քաղաքային!L34+[6]Գյուղական!L21</f>
        <v>133399</v>
      </c>
      <c r="M22" s="53">
        <f>[7]Քաղաքային!M34+[7]Գյուղական!M21</f>
        <v>133493</v>
      </c>
    </row>
    <row r="23" spans="1:13" ht="12" customHeight="1">
      <c r="A23" s="31"/>
      <c r="B23" s="54"/>
      <c r="C23" s="55"/>
      <c r="D23" s="54"/>
      <c r="E23" s="31"/>
      <c r="F23" s="31"/>
      <c r="G23" s="31"/>
      <c r="H23" s="31"/>
      <c r="I23" s="31"/>
      <c r="J23" s="31"/>
      <c r="K23" s="31"/>
      <c r="L23" s="31"/>
    </row>
    <row r="24" spans="1:13" s="4" customFormat="1">
      <c r="A24" s="44" t="s">
        <v>126</v>
      </c>
      <c r="B24" s="45">
        <f t="shared" ref="B24:H24" si="4">B25+B26+B27+B28+B29</f>
        <v>235075</v>
      </c>
      <c r="C24" s="45">
        <f t="shared" si="4"/>
        <v>235380</v>
      </c>
      <c r="D24" s="45">
        <f t="shared" si="4"/>
        <v>235587</v>
      </c>
      <c r="E24" s="45">
        <f t="shared" si="4"/>
        <v>234079</v>
      </c>
      <c r="F24" s="45">
        <f t="shared" si="4"/>
        <v>232988</v>
      </c>
      <c r="G24" s="45">
        <f t="shared" si="4"/>
        <v>231794</v>
      </c>
      <c r="H24" s="45">
        <f t="shared" si="4"/>
        <v>230715</v>
      </c>
      <c r="I24" s="45">
        <f>I25+I26+I27+I28+I29</f>
        <v>229711</v>
      </c>
      <c r="J24" s="45">
        <f>J25+J26+J27+J28+J29</f>
        <v>228256</v>
      </c>
      <c r="K24" s="45">
        <f>K25+K26+K27+K28+K29</f>
        <v>227632</v>
      </c>
      <c r="L24" s="45">
        <f>L25+L26+L27+L28+L29</f>
        <v>227269</v>
      </c>
      <c r="M24" s="45">
        <f>M25+M26+M27+M28+M29</f>
        <v>227778</v>
      </c>
    </row>
    <row r="25" spans="1:13" s="11" customFormat="1">
      <c r="A25" s="48" t="s">
        <v>16</v>
      </c>
      <c r="B25" s="53">
        <f>[8]Քաղաքային!B37+[8]Գյուղական!B24</f>
        <v>52687</v>
      </c>
      <c r="C25" s="53">
        <f>[8]Քաղաքային!C37+[8]Գյուղական!C24</f>
        <v>52727</v>
      </c>
      <c r="D25" s="53">
        <f>[8]Քաղաքային!D37+[8]Գյուղական!D24</f>
        <v>52601</v>
      </c>
      <c r="E25" s="53">
        <f>[8]Քաղաքային!E37+[8]Գյուղական!E24</f>
        <v>51990</v>
      </c>
      <c r="F25" s="53">
        <f>[8]Քաղաքային!F37+[8]Գյուղական!F24</f>
        <v>51420</v>
      </c>
      <c r="G25" s="53">
        <f>[8]Քաղաքային!G37+[8]Գյուղական!G24</f>
        <v>50744</v>
      </c>
      <c r="H25" s="53">
        <f>[8]Քաղաքային!H37+[8]Գյուղական!H24</f>
        <v>50176</v>
      </c>
      <c r="I25" s="53">
        <f>[3]Քաղաքային!I37+[3]Գյուղական!I24</f>
        <v>49659</v>
      </c>
      <c r="J25" s="53">
        <f>[4]Քաղաքային!J37+[4]Գյուղական!J24</f>
        <v>49039</v>
      </c>
      <c r="K25" s="53">
        <f>[5]Քաղաքային!K37+[5]Գյուղական!K24</f>
        <v>48625</v>
      </c>
      <c r="L25" s="53">
        <f>[6]Քաղաքային!L37+[6]Գյուղական!L24</f>
        <v>48472</v>
      </c>
      <c r="M25" s="53">
        <f>[7]Քաղաքային!M37+[7]Գյուղական!M24</f>
        <v>48440</v>
      </c>
    </row>
    <row r="26" spans="1:13" s="11" customFormat="1">
      <c r="A26" s="48" t="s">
        <v>17</v>
      </c>
      <c r="B26" s="53">
        <f>[8]Քաղաքային!B38+[8]Գյուղական!B25</f>
        <v>13788</v>
      </c>
      <c r="C26" s="53">
        <f>[8]Քաղաքային!C38+[8]Գյուղական!C25</f>
        <v>13775</v>
      </c>
      <c r="D26" s="53">
        <f>[8]Քաղաքային!D38+[8]Գյուղական!D25</f>
        <v>13743</v>
      </c>
      <c r="E26" s="53">
        <f>[8]Քաղաքային!E38+[8]Գյուղական!E25</f>
        <v>13642</v>
      </c>
      <c r="F26" s="53">
        <f>[8]Քաղաքային!F38+[8]Գյուղական!F25</f>
        <v>13558</v>
      </c>
      <c r="G26" s="53">
        <f>[8]Քաղաքային!G38+[8]Գյուղական!G25</f>
        <v>13466</v>
      </c>
      <c r="H26" s="53">
        <f>[8]Քաղաքային!H38+[8]Գյուղական!H25</f>
        <v>13395</v>
      </c>
      <c r="I26" s="53">
        <f>[3]Քաղաքային!I38+[3]Գյուղական!I25</f>
        <v>13341</v>
      </c>
      <c r="J26" s="53">
        <f>[4]Քաղաքային!J38+[4]Գյուղական!J25</f>
        <v>13243</v>
      </c>
      <c r="K26" s="53">
        <f>[5]Քաղաքային!K38+[5]Գյուղական!K25</f>
        <v>13167</v>
      </c>
      <c r="L26" s="53">
        <f>[6]Քաղաքային!L38+[6]Գյուղական!L25</f>
        <v>13056</v>
      </c>
      <c r="M26" s="53">
        <f>[7]Քաղաքային!M38+[7]Գյուղական!M25</f>
        <v>13089</v>
      </c>
    </row>
    <row r="27" spans="1:13" s="11" customFormat="1">
      <c r="A27" s="48" t="s">
        <v>18</v>
      </c>
      <c r="B27" s="52">
        <f>[8]Քաղաքային!B39+[8]Գյուղական!B26</f>
        <v>90224</v>
      </c>
      <c r="C27" s="52">
        <f>[8]Քաղաքային!C39+[8]Գյուղական!C26</f>
        <v>90461</v>
      </c>
      <c r="D27" s="52">
        <f>[8]Քաղաքային!D39+[8]Գյուղական!D26</f>
        <v>90660</v>
      </c>
      <c r="E27" s="52">
        <f>[8]Քաղաքային!E39+[8]Գյուղական!E26</f>
        <v>90117</v>
      </c>
      <c r="F27" s="52">
        <f>[8]Քաղաքային!F39+[8]Գյուղական!F26</f>
        <v>89858</v>
      </c>
      <c r="G27" s="52">
        <f>[8]Քաղաքային!G39+[8]Գյուղական!G26</f>
        <v>89602</v>
      </c>
      <c r="H27" s="52">
        <f>[8]Քաղաքային!H39+[8]Գյուղական!H26</f>
        <v>89303</v>
      </c>
      <c r="I27" s="52">
        <f>[3]Քաղաքային!I39+[3]Գյուղական!I26</f>
        <v>89028</v>
      </c>
      <c r="J27" s="52">
        <f>[4]Քաղաքային!J39+[4]Գյուղական!J26</f>
        <v>88623</v>
      </c>
      <c r="K27" s="52">
        <f>[5]Քաղաքային!K39+[5]Գյուղական!K26</f>
        <v>88553</v>
      </c>
      <c r="L27" s="52">
        <f>[6]Քաղաքային!L39+[6]Գյուղական!L26</f>
        <v>88707</v>
      </c>
      <c r="M27" s="52">
        <f>[7]Քաղաքային!M39+[7]Գյուղական!M26</f>
        <v>89150</v>
      </c>
    </row>
    <row r="28" spans="1:13" s="11" customFormat="1">
      <c r="A28" s="48" t="s">
        <v>19</v>
      </c>
      <c r="B28" s="53">
        <f>[8]Քաղաքային!B40+[8]Գյուղական!B27</f>
        <v>39776</v>
      </c>
      <c r="C28" s="53">
        <f>[8]Քաղաքային!C40+[8]Գյուղական!C27</f>
        <v>39841</v>
      </c>
      <c r="D28" s="53">
        <f>[8]Քաղաքային!D40+[8]Գյուղական!D27</f>
        <v>40019</v>
      </c>
      <c r="E28" s="53">
        <f>[8]Քաղաքային!E40+[8]Գյուղական!E27</f>
        <v>40021</v>
      </c>
      <c r="F28" s="53">
        <f>[8]Քաղաքային!F40+[8]Գյուղական!F27</f>
        <v>40035</v>
      </c>
      <c r="G28" s="53">
        <f>[8]Քաղաքային!G40+[8]Գյուղական!G27</f>
        <v>40010</v>
      </c>
      <c r="H28" s="53">
        <f>[8]Քաղաքային!H40+[8]Գյուղական!H27</f>
        <v>39986</v>
      </c>
      <c r="I28" s="53">
        <f>[3]Քաղաքային!I40+[3]Գյուղական!I27</f>
        <v>39972</v>
      </c>
      <c r="J28" s="53">
        <f>[4]Քաղաքային!J40+[4]Գյուղական!J27</f>
        <v>39899</v>
      </c>
      <c r="K28" s="53">
        <f>[5]Քաղաքային!K40+[5]Գյուղական!K27</f>
        <v>39907</v>
      </c>
      <c r="L28" s="53">
        <f>[6]Քաղաքային!L40+[6]Գյուղական!L27</f>
        <v>39873</v>
      </c>
      <c r="M28" s="53">
        <f>[7]Քաղաքային!M40+[7]Գյուղական!M27</f>
        <v>39856</v>
      </c>
    </row>
    <row r="29" spans="1:13" s="11" customFormat="1">
      <c r="A29" s="56" t="s">
        <v>20</v>
      </c>
      <c r="B29" s="53">
        <f>[8]Քաղաքային!B41+[8]Գյուղական!B28</f>
        <v>38600</v>
      </c>
      <c r="C29" s="53">
        <f>[8]Քաղաքային!C41+[8]Գյուղական!C28</f>
        <v>38576</v>
      </c>
      <c r="D29" s="53">
        <f>[8]Քաղաքային!D41+[8]Գյուղական!D28</f>
        <v>38564</v>
      </c>
      <c r="E29" s="53">
        <f>[8]Քաղաքային!E41+[8]Գյուղական!E28</f>
        <v>38309</v>
      </c>
      <c r="F29" s="53">
        <f>[8]Քաղաքային!F41+[8]Գյուղական!F28</f>
        <v>38117</v>
      </c>
      <c r="G29" s="53">
        <f>[8]Քաղաքային!G41+[8]Գյուղական!G28</f>
        <v>37972</v>
      </c>
      <c r="H29" s="53">
        <f>[8]Քաղաքային!H41+[8]Գյուղական!H28</f>
        <v>37855</v>
      </c>
      <c r="I29" s="53">
        <f>[3]Քաղաքային!I41+[3]Գյուղական!I28</f>
        <v>37711</v>
      </c>
      <c r="J29" s="53">
        <f>[4]Քաղաքային!J41+[4]Գյուղական!J28</f>
        <v>37452</v>
      </c>
      <c r="K29" s="53">
        <f>[5]Քաղաքային!K41+[5]Գյուղական!K28</f>
        <v>37380</v>
      </c>
      <c r="L29" s="53">
        <f>[6]Քաղաքային!L41+[6]Գյուղական!L28</f>
        <v>37161</v>
      </c>
      <c r="M29" s="53">
        <f>[7]Քաղաքային!M41+[7]Գյուղական!M28</f>
        <v>37243</v>
      </c>
    </row>
    <row r="30" spans="1:13" ht="9" customHeight="1">
      <c r="A30" s="24"/>
      <c r="B30" s="54"/>
      <c r="C30" s="55"/>
      <c r="D30" s="54"/>
      <c r="E30" s="31"/>
      <c r="F30" s="31"/>
      <c r="G30" s="31"/>
      <c r="H30" s="31"/>
      <c r="I30" s="31"/>
      <c r="J30" s="31"/>
      <c r="K30" s="31"/>
      <c r="L30" s="31"/>
    </row>
    <row r="31" spans="1:13" s="4" customFormat="1" ht="15.75" customHeight="1">
      <c r="A31" s="57" t="s">
        <v>21</v>
      </c>
      <c r="B31" s="45">
        <f t="shared" ref="B31:H31" si="5">B32+B33+B34+B35+B36+B37</f>
        <v>235537</v>
      </c>
      <c r="C31" s="45">
        <f t="shared" si="5"/>
        <v>235660</v>
      </c>
      <c r="D31" s="45">
        <f t="shared" si="5"/>
        <v>234663</v>
      </c>
      <c r="E31" s="45">
        <f t="shared" si="5"/>
        <v>230760</v>
      </c>
      <c r="F31" s="45">
        <f t="shared" si="5"/>
        <v>227999</v>
      </c>
      <c r="G31" s="45">
        <f t="shared" si="5"/>
        <v>224954</v>
      </c>
      <c r="H31" s="45">
        <f t="shared" si="5"/>
        <v>221098</v>
      </c>
      <c r="I31" s="45">
        <f>I32+I33+I34+I35+I36+I37</f>
        <v>217363</v>
      </c>
      <c r="J31" s="45">
        <f>J32+J33+J34+J35+J36+J37</f>
        <v>215471</v>
      </c>
      <c r="K31" s="45">
        <f>K32+K33+K34+K35+K36+K37</f>
        <v>213315</v>
      </c>
      <c r="L31" s="45">
        <f>L32+L33+L34+L35+L36+L37</f>
        <v>212566</v>
      </c>
      <c r="M31" s="45">
        <f>M32+M33+M34+M35+M36+M37</f>
        <v>211677</v>
      </c>
    </row>
    <row r="32" spans="1:13">
      <c r="A32" s="58" t="s">
        <v>116</v>
      </c>
      <c r="B32" s="54">
        <v>86199</v>
      </c>
      <c r="C32" s="54">
        <v>86202</v>
      </c>
      <c r="D32" s="54">
        <v>85673</v>
      </c>
      <c r="E32" s="54">
        <v>84298</v>
      </c>
      <c r="F32" s="54">
        <v>83385</v>
      </c>
      <c r="G32" s="54">
        <v>82221</v>
      </c>
      <c r="H32" s="54">
        <v>80703</v>
      </c>
      <c r="I32" s="54">
        <f>[3]Քաղաքային!I44</f>
        <v>79310</v>
      </c>
      <c r="J32" s="54">
        <f>[4]Քաղաքային!J44</f>
        <v>78386</v>
      </c>
      <c r="K32" s="54">
        <f>[5]Քաղաքային!K44</f>
        <v>77234</v>
      </c>
      <c r="L32" s="54">
        <f>[6]Քաղաքային!L44</f>
        <v>76860</v>
      </c>
      <c r="M32" s="54">
        <f>[7]Քաղաքային!M44</f>
        <v>76220</v>
      </c>
    </row>
    <row r="33" spans="1:13" s="11" customFormat="1">
      <c r="A33" s="59" t="s">
        <v>117</v>
      </c>
      <c r="B33" s="52">
        <v>22675</v>
      </c>
      <c r="C33" s="52">
        <v>22675</v>
      </c>
      <c r="D33" s="52">
        <v>22462</v>
      </c>
      <c r="E33" s="52">
        <v>21755</v>
      </c>
      <c r="F33" s="52">
        <v>21184</v>
      </c>
      <c r="G33" s="52">
        <v>20634</v>
      </c>
      <c r="H33" s="52">
        <v>20018</v>
      </c>
      <c r="I33" s="52">
        <f>[3]Գյուղական!I31</f>
        <v>19411</v>
      </c>
      <c r="J33" s="52">
        <f>[4]Գյուղական!J31</f>
        <v>19158</v>
      </c>
      <c r="K33" s="52">
        <f>[5]Գյուղական!K31</f>
        <v>18967</v>
      </c>
      <c r="L33" s="52">
        <f>[6]Գյուղական!L31</f>
        <v>19012</v>
      </c>
      <c r="M33" s="52">
        <f>[7]Գյուղական!M31</f>
        <v>19008</v>
      </c>
    </row>
    <row r="34" spans="1:13" s="11" customFormat="1">
      <c r="A34" s="59" t="s">
        <v>23</v>
      </c>
      <c r="B34" s="52">
        <v>40006</v>
      </c>
      <c r="C34" s="52">
        <v>39982</v>
      </c>
      <c r="D34" s="52">
        <v>39887</v>
      </c>
      <c r="E34" s="52">
        <v>39559</v>
      </c>
      <c r="F34" s="52">
        <v>39336</v>
      </c>
      <c r="G34" s="52">
        <v>39140</v>
      </c>
      <c r="H34" s="52">
        <v>38817</v>
      </c>
      <c r="I34" s="52">
        <f>[3]Քաղաքային!I45+[3]Քաղաքային!I46+[3]Քաղաքային!I47+[3]Քաղաքային!I48+[3]Գյուղական!I32</f>
        <v>38459</v>
      </c>
      <c r="J34" s="52">
        <f>[4]Քաղաքային!J45+[4]Քաղաքային!J46+[4]Քաղաքային!J47+[4]Քաղաքային!J48+[4]Գյուղական!J32</f>
        <v>38235</v>
      </c>
      <c r="K34" s="52">
        <f>[5]Քաղաքային!K45+[5]Քաղաքային!K46+[5]Քաղաքային!K47+[5]Քաղաքային!K48+[5]Գյուղական!K32</f>
        <v>37992</v>
      </c>
      <c r="L34" s="52">
        <f>[6]Քաղաքային!L45+[6]Քաղաքային!L46+[6]Քաղաքային!L47+[6]Քաղաքային!L48+[6]Գյուղական!L32</f>
        <v>37712</v>
      </c>
      <c r="M34" s="52">
        <f>[7]Քաղաքային!M45+[7]Քաղաքային!M46+[7]Քաղաքային!M47+[7]Քաղաքային!M48+[7]Գյուղական!M32</f>
        <v>37532</v>
      </c>
    </row>
    <row r="35" spans="1:13" s="11" customFormat="1">
      <c r="A35" s="59" t="s">
        <v>24</v>
      </c>
      <c r="B35" s="52">
        <v>36230</v>
      </c>
      <c r="C35" s="52">
        <v>36314</v>
      </c>
      <c r="D35" s="52">
        <v>36443</v>
      </c>
      <c r="E35" s="52">
        <v>36214</v>
      </c>
      <c r="F35" s="52">
        <v>36172</v>
      </c>
      <c r="G35" s="52">
        <v>36073</v>
      </c>
      <c r="H35" s="52">
        <v>35818</v>
      </c>
      <c r="I35" s="52">
        <f>[3]Քաղաքային!I49+[3]Գյուղական!I33</f>
        <v>35566</v>
      </c>
      <c r="J35" s="52">
        <f>[4]Քաղաքային!J49+[4]Գյուղական!J33</f>
        <v>35553</v>
      </c>
      <c r="K35" s="52">
        <f>[5]Քաղաքային!K49+[5]Գյուղական!K33</f>
        <v>35500</v>
      </c>
      <c r="L35" s="52">
        <f>[6]Քաղաքային!L49+[6]Գյուղական!L33</f>
        <v>35412</v>
      </c>
      <c r="M35" s="52">
        <f>[7]Քաղաքային!M49+[7]Գյուղական!M33</f>
        <v>35470</v>
      </c>
    </row>
    <row r="36" spans="1:13" s="11" customFormat="1">
      <c r="A36" s="59" t="s">
        <v>25</v>
      </c>
      <c r="B36" s="53">
        <v>28242</v>
      </c>
      <c r="C36" s="53">
        <v>28253</v>
      </c>
      <c r="D36" s="53">
        <v>28184</v>
      </c>
      <c r="E36" s="53">
        <v>27755</v>
      </c>
      <c r="F36" s="53">
        <v>27414</v>
      </c>
      <c r="G36" s="53">
        <v>27065</v>
      </c>
      <c r="H36" s="53">
        <v>26666</v>
      </c>
      <c r="I36" s="53">
        <f>[3]Քաղաքային!I50+[3]Գյուղական!I34</f>
        <v>26295</v>
      </c>
      <c r="J36" s="53">
        <f>[4]Քաղաքային!J50+[4]Գյուղական!J34</f>
        <v>26129</v>
      </c>
      <c r="K36" s="53">
        <f>[5]Քաղաքային!K50+[5]Գյուղական!K34</f>
        <v>25931</v>
      </c>
      <c r="L36" s="53">
        <f>[6]Քաղաքային!L50+[6]Գյուղական!L34</f>
        <v>25814</v>
      </c>
      <c r="M36" s="53">
        <f>[7]Քաղաքային!M50+[7]Գյուղական!M34</f>
        <v>25715</v>
      </c>
    </row>
    <row r="37" spans="1:13" s="11" customFormat="1">
      <c r="A37" s="59" t="s">
        <v>26</v>
      </c>
      <c r="B37" s="53">
        <v>22185</v>
      </c>
      <c r="C37" s="53">
        <v>22234</v>
      </c>
      <c r="D37" s="53">
        <v>22014</v>
      </c>
      <c r="E37" s="53">
        <v>21179</v>
      </c>
      <c r="F37" s="53">
        <v>20508</v>
      </c>
      <c r="G37" s="53">
        <v>19821</v>
      </c>
      <c r="H37" s="53">
        <v>19076</v>
      </c>
      <c r="I37" s="53">
        <f>[3]Քաղաքային!I51+[3]Գյուղական!I35</f>
        <v>18322</v>
      </c>
      <c r="J37" s="53">
        <f>[4]Քաղաքային!J51+[4]Գյուղական!J35</f>
        <v>18010</v>
      </c>
      <c r="K37" s="53">
        <f>[5]Քաղաքային!K51+[5]Գյուղական!K35</f>
        <v>17691</v>
      </c>
      <c r="L37" s="53">
        <f>[6]Քաղաքային!L51+[6]Գյուղական!L35</f>
        <v>17756</v>
      </c>
      <c r="M37" s="53">
        <f>[7]Քաղաքային!M51+[7]Գյուղական!M35</f>
        <v>17732</v>
      </c>
    </row>
    <row r="38" spans="1:13" ht="10.5" customHeight="1">
      <c r="A38" s="31"/>
      <c r="B38" s="60"/>
      <c r="C38" s="55"/>
      <c r="D38" s="54"/>
      <c r="E38" s="31"/>
      <c r="F38" s="31"/>
      <c r="G38" s="31"/>
      <c r="H38" s="31"/>
      <c r="I38" s="31"/>
      <c r="J38" s="31"/>
      <c r="K38" s="31"/>
      <c r="L38" s="31"/>
    </row>
    <row r="39" spans="1:13">
      <c r="A39" s="57" t="s">
        <v>27</v>
      </c>
      <c r="B39" s="45">
        <f t="shared" ref="B39:H39" si="6">B40+B41+B42</f>
        <v>254397</v>
      </c>
      <c r="C39" s="45">
        <f t="shared" si="6"/>
        <v>254616</v>
      </c>
      <c r="D39" s="45">
        <f t="shared" si="6"/>
        <v>255353</v>
      </c>
      <c r="E39" s="45">
        <f t="shared" si="6"/>
        <v>254997</v>
      </c>
      <c r="F39" s="45">
        <f t="shared" si="6"/>
        <v>254990</v>
      </c>
      <c r="G39" s="45">
        <f t="shared" si="6"/>
        <v>253898</v>
      </c>
      <c r="H39" s="45">
        <f t="shared" si="6"/>
        <v>252830</v>
      </c>
      <c r="I39" s="45">
        <f>I40+I41+I42</f>
        <v>251598</v>
      </c>
      <c r="J39" s="45">
        <f>J40+J41+J42</f>
        <v>251609</v>
      </c>
      <c r="K39" s="45">
        <f>K40+K41+K42</f>
        <v>250908</v>
      </c>
      <c r="L39" s="45">
        <f>L40+L41+L42</f>
        <v>251177</v>
      </c>
      <c r="M39" s="45">
        <f>M40+M41+M42</f>
        <v>251076</v>
      </c>
    </row>
    <row r="40" spans="1:13" s="11" customFormat="1">
      <c r="A40" s="59" t="s">
        <v>28</v>
      </c>
      <c r="B40" s="52">
        <f>[8]Քաղաքային!B54+[8]Քաղաքային!B55+[8]Քաղաքային!B56+[8]Գյուղական!B38</f>
        <v>85339</v>
      </c>
      <c r="C40" s="52">
        <f>[8]Քաղաքային!C54+[8]Քաղաքային!C55+[8]Քաղաքային!C56+[8]Գյուղական!C38</f>
        <v>85445</v>
      </c>
      <c r="D40" s="52">
        <f>[8]Քաղաքային!D54+[8]Քաղաքային!D55+[8]Քաղաքային!D56+[8]Գյուղական!D38</f>
        <v>85580</v>
      </c>
      <c r="E40" s="52">
        <f>[8]Քաղաքային!E54+[8]Քաղաքային!E55+[8]Քաղաքային!E56+[8]Գյուղական!E38</f>
        <v>85210</v>
      </c>
      <c r="F40" s="52">
        <f>[8]Քաղաքային!F54+[8]Քաղաքային!F55+[8]Քաղաքային!F56+[8]Գյուղական!F38</f>
        <v>85140</v>
      </c>
      <c r="G40" s="52">
        <f>[8]Քաղաքային!G54+[8]Քաղաքային!G55+[8]Քաղաքային!G56+[8]Գյուղական!G38</f>
        <v>84430</v>
      </c>
      <c r="H40" s="52">
        <f>[8]Քաղաքային!H54+[8]Քաղաքային!H55+[8]Քաղաքային!H56+[8]Գյուղական!H38</f>
        <v>83807</v>
      </c>
      <c r="I40" s="52">
        <f>[3]Քաղաքային!I54+[3]Քաղաքային!I55+[3]Քաղաքային!I56+[3]Գյուղական!I38</f>
        <v>83200</v>
      </c>
      <c r="J40" s="52">
        <f>[4]Քաղաքային!J54+[4]Քաղաքային!J55+[4]Քաղաքային!J56+[4]Գյուղական!J38</f>
        <v>83140</v>
      </c>
      <c r="K40" s="52">
        <f>[5]Քաղաքային!K54+[5]Քաղաքային!K55+[5]Քաղաքային!K56+[5]Գյուղական!K38</f>
        <v>82609</v>
      </c>
      <c r="L40" s="52">
        <f>[6]Քաղաքային!L54+[6]Քաղաքային!L55+[6]Քաղաքային!L56+[6]Գյուղական!L38</f>
        <v>82477</v>
      </c>
      <c r="M40" s="52">
        <f>[7]Քաղաքային!M54+[7]Քաղաքային!M55+[7]Քաղաքային!M56+[7]Գյուղական!M38</f>
        <v>82456</v>
      </c>
    </row>
    <row r="41" spans="1:13" s="11" customFormat="1">
      <c r="A41" s="59" t="s">
        <v>29</v>
      </c>
      <c r="B41" s="53">
        <f>[8]Քաղաքային!B57+[8]Քաղաքային!B58+[8]Գյուղական!B39</f>
        <v>111089</v>
      </c>
      <c r="C41" s="53">
        <f>[8]Քաղաքային!C57+[8]Քաղաքային!C58+[8]Գյուղական!C39</f>
        <v>111178</v>
      </c>
      <c r="D41" s="53">
        <f>[8]Քաղաքային!D57+[8]Քաղաքային!D58+[8]Գյուղական!D39</f>
        <v>111546</v>
      </c>
      <c r="E41" s="53">
        <f>[8]Քաղաքային!E57+[8]Քաղաքային!E58+[8]Գյուղական!E39</f>
        <v>111580</v>
      </c>
      <c r="F41" s="53">
        <f>[8]Քաղաքային!F57+[8]Քաղաքային!F58+[8]Գյուղական!F39</f>
        <v>111720</v>
      </c>
      <c r="G41" s="53">
        <f>[8]Քաղաքային!G57+[8]Քաղաքային!G58+[8]Գյուղական!G39</f>
        <v>111535</v>
      </c>
      <c r="H41" s="53">
        <f>[8]Քաղաքային!H57+[8]Քաղաքային!H58+[8]Գյուղական!H39</f>
        <v>111321</v>
      </c>
      <c r="I41" s="53">
        <f>[3]Քաղաքային!I57+[3]Քաղաքային!I58+[3]Գյուղական!I39</f>
        <v>111000</v>
      </c>
      <c r="J41" s="53">
        <f>[4]Քաղաքային!J57+[4]Քաղաքային!J58+[4]Գյուղական!J39</f>
        <v>111140</v>
      </c>
      <c r="K41" s="53">
        <f>[5]Քաղաքային!K57+[5]Քաղաքային!K58+[5]Գյուղական!K39</f>
        <v>111072</v>
      </c>
      <c r="L41" s="53">
        <f>[6]Քաղաքային!L57+[6]Քաղաքային!L58+[6]Գյուղական!L39</f>
        <v>111420</v>
      </c>
      <c r="M41" s="53">
        <f>[7]Քաղաքային!M57+[7]Քաղաքային!M58+[7]Գյուղական!M39</f>
        <v>111414</v>
      </c>
    </row>
    <row r="42" spans="1:13" s="11" customFormat="1">
      <c r="A42" s="59" t="s">
        <v>30</v>
      </c>
      <c r="B42" s="53">
        <f>[8]Քաղաքային!B59+[8]Քաղաքային!B60+[8]Գյուղական!B40</f>
        <v>57969</v>
      </c>
      <c r="C42" s="53">
        <f>[8]Քաղաքային!C59+[8]Քաղաքային!C60+[8]Գյուղական!C40</f>
        <v>57993</v>
      </c>
      <c r="D42" s="53">
        <f>[8]Քաղաքային!D59+[8]Քաղաքային!D60+[8]Գյուղական!D40</f>
        <v>58227</v>
      </c>
      <c r="E42" s="53">
        <f>[8]Քաղաքային!E59+[8]Քաղաքային!E60+[8]Գյուղական!E40</f>
        <v>58207</v>
      </c>
      <c r="F42" s="53">
        <f>[8]Քաղաքային!F59+[8]Քաղաքային!F60+[8]Գյուղական!F40</f>
        <v>58130</v>
      </c>
      <c r="G42" s="53">
        <f>[8]Քաղաքային!G59+[8]Քաղաքային!G60+[8]Գյուղական!G40</f>
        <v>57933</v>
      </c>
      <c r="H42" s="53">
        <f>[8]Քաղաքային!H59+[8]Քաղաքային!H60+[8]Գյուղական!H40</f>
        <v>57702</v>
      </c>
      <c r="I42" s="53">
        <f>[3]Քաղաքային!I59+[3]Քաղաքային!I60+[3]Գյուղական!I40</f>
        <v>57398</v>
      </c>
      <c r="J42" s="53">
        <f>[4]Քաղաքային!J59+[4]Քաղաքային!J60+[4]Գյուղական!J40</f>
        <v>57329</v>
      </c>
      <c r="K42" s="53">
        <f>[5]Քաղաքային!K59+[5]Քաղաքային!K60+[5]Գյուղական!K40</f>
        <v>57227</v>
      </c>
      <c r="L42" s="53">
        <f>[6]Քաղաքային!L59+[6]Քաղաքային!L60+[6]Գյուղական!L40</f>
        <v>57280</v>
      </c>
      <c r="M42" s="53">
        <f>[7]Քաղաքային!M59+[7]Քաղաքային!M60+[7]Գյուղական!M40</f>
        <v>57206</v>
      </c>
    </row>
    <row r="43" spans="1:13" ht="9.75" customHeight="1">
      <c r="A43" s="24"/>
      <c r="B43" s="54"/>
      <c r="C43" s="55"/>
      <c r="D43" s="54"/>
      <c r="E43" s="31"/>
      <c r="F43" s="31"/>
      <c r="G43" s="31"/>
      <c r="H43" s="31"/>
      <c r="I43" s="31"/>
      <c r="J43" s="31"/>
      <c r="K43" s="31"/>
      <c r="L43" s="31"/>
    </row>
    <row r="44" spans="1:13">
      <c r="A44" s="57" t="s">
        <v>31</v>
      </c>
      <c r="B44" s="45">
        <f t="shared" ref="B44:H44" si="7">B45+B46+B47+B48+B49+B50</f>
        <v>251941</v>
      </c>
      <c r="C44" s="45">
        <f t="shared" si="7"/>
        <v>252093</v>
      </c>
      <c r="D44" s="45">
        <f t="shared" si="7"/>
        <v>251267</v>
      </c>
      <c r="E44" s="45">
        <f t="shared" si="7"/>
        <v>248381</v>
      </c>
      <c r="F44" s="45">
        <f t="shared" si="7"/>
        <v>246409</v>
      </c>
      <c r="G44" s="45">
        <f t="shared" si="7"/>
        <v>243152</v>
      </c>
      <c r="H44" s="45">
        <f t="shared" si="7"/>
        <v>239278</v>
      </c>
      <c r="I44" s="45">
        <f>I45+I46+I47+I48+I49+I50</f>
        <v>235380</v>
      </c>
      <c r="J44" s="45">
        <f>J45+J46+J47+J48+J49+J50</f>
        <v>233245</v>
      </c>
      <c r="K44" s="45">
        <f>K45+K46+K47+K48+K49+K50</f>
        <v>231365</v>
      </c>
      <c r="L44" s="45">
        <f>L45+L46+L47+L48+L49+L50</f>
        <v>230963</v>
      </c>
      <c r="M44" s="45">
        <f>M45+M46+M47+M48+M49+M50</f>
        <v>230340</v>
      </c>
    </row>
    <row r="45" spans="1:13">
      <c r="A45" s="58" t="s">
        <v>118</v>
      </c>
      <c r="B45" s="54">
        <f>[8]Քաղաքային!B63</f>
        <v>121976</v>
      </c>
      <c r="C45" s="54">
        <f>[8]Քաղաքային!C63</f>
        <v>121945</v>
      </c>
      <c r="D45" s="54">
        <f>[8]Քաղաքային!D63</f>
        <v>121342</v>
      </c>
      <c r="E45" s="54">
        <f>[8]Քաղաքային!E63</f>
        <v>119885</v>
      </c>
      <c r="F45" s="54">
        <f>[8]Քաղաքային!F63</f>
        <v>119034</v>
      </c>
      <c r="G45" s="54">
        <f>[8]Քաղաքային!G63</f>
        <v>117714</v>
      </c>
      <c r="H45" s="54">
        <f>[8]Քաղաքային!H63</f>
        <v>116031</v>
      </c>
      <c r="I45" s="54">
        <f>[3]Քաղաքային!I63</f>
        <v>114430</v>
      </c>
      <c r="J45" s="54">
        <f>[4]Քաղաքային!J63</f>
        <v>113525</v>
      </c>
      <c r="K45" s="54">
        <f>[5]Քաղաքային!K63</f>
        <v>112412</v>
      </c>
      <c r="L45" s="54">
        <f>[6]Քաղաքային!L63</f>
        <v>112108</v>
      </c>
      <c r="M45" s="54">
        <f>[7]Քաղաքային!M63</f>
        <v>111138</v>
      </c>
    </row>
    <row r="46" spans="1:13" s="11" customFormat="1">
      <c r="A46" s="59" t="s">
        <v>32</v>
      </c>
      <c r="B46" s="53">
        <f>[8]Գյուղական!B43</f>
        <v>41546</v>
      </c>
      <c r="C46" s="53">
        <f>[8]Գյուղական!C43</f>
        <v>41598</v>
      </c>
      <c r="D46" s="53">
        <f>[8]Գյուղական!D43</f>
        <v>41433</v>
      </c>
      <c r="E46" s="53">
        <f>[8]Գյուղական!E43</f>
        <v>40925</v>
      </c>
      <c r="F46" s="53">
        <f>[8]Գյուղական!F43</f>
        <v>40409</v>
      </c>
      <c r="G46" s="53">
        <f>[8]Գյուղական!G43</f>
        <v>39612</v>
      </c>
      <c r="H46" s="53">
        <f>[8]Գյուղական!H43</f>
        <v>38772</v>
      </c>
      <c r="I46" s="53">
        <f>[3]Գյուղական!I43</f>
        <v>37889</v>
      </c>
      <c r="J46" s="53">
        <f>[4]Գյուղական!J43</f>
        <v>37411</v>
      </c>
      <c r="K46" s="53">
        <f>[5]Գյուղական!K43</f>
        <v>37137</v>
      </c>
      <c r="L46" s="53">
        <f>[6]Գյուղական!L43</f>
        <v>37178</v>
      </c>
      <c r="M46" s="53">
        <f>[7]Գյուղական!M43</f>
        <v>37348</v>
      </c>
    </row>
    <row r="47" spans="1:13" s="11" customFormat="1">
      <c r="A47" s="59" t="s">
        <v>33</v>
      </c>
      <c r="B47" s="53">
        <f>[8]Գյուղական!B44</f>
        <v>6306</v>
      </c>
      <c r="C47" s="53">
        <f>[8]Գյուղական!C44</f>
        <v>6316</v>
      </c>
      <c r="D47" s="53">
        <f>[8]Գյուղական!D44</f>
        <v>6336</v>
      </c>
      <c r="E47" s="53">
        <f>[8]Գյուղական!E44</f>
        <v>6335</v>
      </c>
      <c r="F47" s="53">
        <f>[8]Գյուղական!F44</f>
        <v>6340</v>
      </c>
      <c r="G47" s="53">
        <f>[8]Գյուղական!G44</f>
        <v>6305</v>
      </c>
      <c r="H47" s="53">
        <f>[8]Գյուղական!H44</f>
        <v>6244</v>
      </c>
      <c r="I47" s="53">
        <f>[3]Գյուղական!I44</f>
        <v>6192</v>
      </c>
      <c r="J47" s="53">
        <f>[4]Գյուղական!J44</f>
        <v>6167</v>
      </c>
      <c r="K47" s="53">
        <f>[5]Գյուղական!K44</f>
        <v>6151</v>
      </c>
      <c r="L47" s="53">
        <f>[6]Գյուղական!L44</f>
        <v>6109</v>
      </c>
      <c r="M47" s="53">
        <f>[7]Գյուղական!M44</f>
        <v>6127</v>
      </c>
    </row>
    <row r="48" spans="1:13" s="11" customFormat="1">
      <c r="A48" s="59" t="s">
        <v>34</v>
      </c>
      <c r="B48" s="53">
        <f>[8]Գյուղական!B45</f>
        <v>9090</v>
      </c>
      <c r="C48" s="53">
        <f>[8]Գյուղական!C45</f>
        <v>9099</v>
      </c>
      <c r="D48" s="53">
        <f>[8]Գյուղական!D45</f>
        <v>9161</v>
      </c>
      <c r="E48" s="53">
        <f>[8]Գյուղական!E45</f>
        <v>9214</v>
      </c>
      <c r="F48" s="53">
        <f>[8]Գյուղական!F45</f>
        <v>9261</v>
      </c>
      <c r="G48" s="53">
        <f>[8]Գյուղական!G45</f>
        <v>9281</v>
      </c>
      <c r="H48" s="53">
        <f>[8]Գյուղական!H45</f>
        <v>9308</v>
      </c>
      <c r="I48" s="53">
        <f>[3]Գյուղական!I45</f>
        <v>9287</v>
      </c>
      <c r="J48" s="53">
        <f>[4]Գյուղական!J45</f>
        <v>9270</v>
      </c>
      <c r="K48" s="53">
        <f>[5]Գյուղական!K45</f>
        <v>9286</v>
      </c>
      <c r="L48" s="53">
        <f>[6]Գյուղական!L45</f>
        <v>9242</v>
      </c>
      <c r="M48" s="53">
        <f>[7]Գյուղական!M45</f>
        <v>9257</v>
      </c>
    </row>
    <row r="49" spans="1:13" s="11" customFormat="1">
      <c r="A49" s="59" t="s">
        <v>35</v>
      </c>
      <c r="B49" s="53">
        <f>[8]Քաղաքային!B64+[8]Գյուղական!B46</f>
        <v>18958</v>
      </c>
      <c r="C49" s="53">
        <f>[8]Քաղաքային!C64+[8]Գյուղական!C46</f>
        <v>18996</v>
      </c>
      <c r="D49" s="53">
        <f>[8]Քաղաքային!D64+[8]Գյուղական!D46</f>
        <v>19137</v>
      </c>
      <c r="E49" s="53">
        <f>[8]Քաղաքային!E64+[8]Գյուղական!E46</f>
        <v>19096</v>
      </c>
      <c r="F49" s="53">
        <f>[8]Քաղաքային!F64+[8]Գյուղական!F46</f>
        <v>19118</v>
      </c>
      <c r="G49" s="53">
        <f>[8]Քաղաքային!G64+[8]Գյուղական!G46</f>
        <v>19051</v>
      </c>
      <c r="H49" s="53">
        <f>[8]Քաղաքային!H64+[8]Գյուղական!H46</f>
        <v>18935</v>
      </c>
      <c r="I49" s="53">
        <f>[3]Քաղաքային!I64+[3]Գյուղական!I46</f>
        <v>18800</v>
      </c>
      <c r="J49" s="53">
        <f>[4]Քաղաքային!J64+[4]Գյուղական!J46</f>
        <v>18767</v>
      </c>
      <c r="K49" s="53">
        <f>[5]Քաղաքային!K64+[5]Գյուղական!K46</f>
        <v>18746</v>
      </c>
      <c r="L49" s="53">
        <f>[6]Քաղաքային!L64+[6]Գյուղական!L46</f>
        <v>18714</v>
      </c>
      <c r="M49" s="53">
        <f>[7]Քաղաքային!M64+[7]Գյուղական!M46</f>
        <v>18749</v>
      </c>
    </row>
    <row r="50" spans="1:13" s="11" customFormat="1">
      <c r="A50" s="59" t="s">
        <v>36</v>
      </c>
      <c r="B50" s="53">
        <f>[8]Քաղաքային!B65+[8]Գյուղական!B47</f>
        <v>54065</v>
      </c>
      <c r="C50" s="53">
        <f>[8]Քաղաքային!C65+[8]Գյուղական!C47</f>
        <v>54139</v>
      </c>
      <c r="D50" s="53">
        <f>[8]Քաղաքային!D65+[8]Գյուղական!D47</f>
        <v>53858</v>
      </c>
      <c r="E50" s="53">
        <f>[8]Քաղաքային!E65+[8]Գյուղական!E47</f>
        <v>52926</v>
      </c>
      <c r="F50" s="53">
        <f>[8]Քաղաքային!F65+[8]Գյուղական!F47</f>
        <v>52247</v>
      </c>
      <c r="G50" s="53">
        <f>[8]Քաղաքային!G65+[8]Գյուղական!G47</f>
        <v>51189</v>
      </c>
      <c r="H50" s="53">
        <f>[8]Քաղաքային!H65+[8]Գյուղական!H47</f>
        <v>49988</v>
      </c>
      <c r="I50" s="53">
        <f>[3]Քաղաքային!I65+[3]Գյուղական!I47</f>
        <v>48782</v>
      </c>
      <c r="J50" s="53">
        <f>[4]Քաղաքային!J65+[4]Գյուղական!J47</f>
        <v>48105</v>
      </c>
      <c r="K50" s="53">
        <f>[5]Քաղաքային!K65+[5]Գյուղական!K47</f>
        <v>47633</v>
      </c>
      <c r="L50" s="53">
        <f>[6]Քաղաքային!L65+[6]Գյուղական!L47</f>
        <v>47612</v>
      </c>
      <c r="M50" s="53">
        <f>[7]Քաղաքային!M65+[7]Գյուղական!M47</f>
        <v>47721</v>
      </c>
    </row>
    <row r="51" spans="1:13" ht="9" customHeight="1">
      <c r="A51" s="24"/>
      <c r="B51" s="54"/>
      <c r="C51" s="55"/>
      <c r="D51" s="54"/>
      <c r="E51" s="31"/>
      <c r="F51" s="31"/>
      <c r="G51" s="31"/>
      <c r="H51" s="31"/>
      <c r="I51" s="31"/>
      <c r="J51" s="31"/>
      <c r="K51" s="31"/>
      <c r="L51" s="31"/>
    </row>
    <row r="52" spans="1:13">
      <c r="A52" s="57" t="s">
        <v>37</v>
      </c>
      <c r="B52" s="47">
        <f t="shared" ref="B52:H52" si="8">B53+B54+B55+B56</f>
        <v>141771</v>
      </c>
      <c r="C52" s="47">
        <f t="shared" si="8"/>
        <v>141747</v>
      </c>
      <c r="D52" s="47">
        <f t="shared" si="8"/>
        <v>141645</v>
      </c>
      <c r="E52" s="47">
        <f t="shared" si="8"/>
        <v>141001</v>
      </c>
      <c r="F52" s="47">
        <f t="shared" si="8"/>
        <v>140182</v>
      </c>
      <c r="G52" s="47">
        <f t="shared" si="8"/>
        <v>139471</v>
      </c>
      <c r="H52" s="47">
        <f t="shared" si="8"/>
        <v>138953</v>
      </c>
      <c r="I52" s="47">
        <f>I53+I54+I55+I56</f>
        <v>138397</v>
      </c>
      <c r="J52" s="47">
        <f>J53+J54+J55+J56</f>
        <v>137574</v>
      </c>
      <c r="K52" s="47">
        <f>K53+K54+K55+K56</f>
        <v>137312</v>
      </c>
      <c r="L52" s="47">
        <f>L53+L54+L55+L56</f>
        <v>135851</v>
      </c>
      <c r="M52" s="47">
        <f>M53+M54+M55+M56</f>
        <v>134731</v>
      </c>
    </row>
    <row r="53" spans="1:13" s="11" customFormat="1">
      <c r="A53" s="59" t="s">
        <v>38</v>
      </c>
      <c r="B53" s="53">
        <f>[8]Քաղաքային!B68+[8]Քաղաքային!B69+[8]Գյուղական!B50</f>
        <v>58556</v>
      </c>
      <c r="C53" s="53">
        <f>[8]Քաղաքային!C68+[8]Քաղաքային!C69+[8]Գյուղական!C50</f>
        <v>58547</v>
      </c>
      <c r="D53" s="53">
        <f>[8]Քաղաքային!D68+[8]Քաղաքային!D69+[8]Գյուղական!D50</f>
        <v>58468</v>
      </c>
      <c r="E53" s="53">
        <f>[8]Քաղաքային!E68+[8]Քաղաքային!E69+[8]Գյուղական!E50</f>
        <v>58146</v>
      </c>
      <c r="F53" s="53">
        <f>[8]Քաղաքային!F68+[8]Քաղաքային!F69+[8]Գյուղական!F50</f>
        <v>57800</v>
      </c>
      <c r="G53" s="53">
        <f>[8]Քաղաքային!G68+[8]Քաղաքային!G69+[8]Գյուղական!G50</f>
        <v>57440</v>
      </c>
      <c r="H53" s="53">
        <f>[8]Քաղաքային!H68+[8]Քաղաքային!H69+[8]Գյուղական!H50</f>
        <v>57232</v>
      </c>
      <c r="I53" s="53">
        <f>[3]Քաղաքային!I68+[3]Քաղաքային!I69+[3]Գյուղական!I50</f>
        <v>56954</v>
      </c>
      <c r="J53" s="53">
        <f>[4]Քաղաքային!J68+[4]Քաղաքային!J69+[4]Գյուղական!J50</f>
        <v>56573</v>
      </c>
      <c r="K53" s="53">
        <f>[5]Քաղաքային!K68+[5]Քաղաքային!K69+[5]Գյուղական!K50</f>
        <v>56406</v>
      </c>
      <c r="L53" s="53">
        <f>[6]Քաղաքային!L68+[6]Քաղաքային!L69+[6]Գյուղական!L50</f>
        <v>56103</v>
      </c>
      <c r="M53" s="53">
        <f>[7]Քաղաքային!M68+[7]Քաղաքային!M69+[7]Գյուղական!M50</f>
        <v>55522</v>
      </c>
    </row>
    <row r="54" spans="1:13" s="11" customFormat="1">
      <c r="A54" s="59" t="s">
        <v>39</v>
      </c>
      <c r="B54" s="53">
        <f>[8]Քաղաքային!B70+[8]Գյուղական!B51</f>
        <v>41573</v>
      </c>
      <c r="C54" s="53">
        <f>[8]Քաղաքային!C70+[8]Գյուղական!C51</f>
        <v>41583</v>
      </c>
      <c r="D54" s="53">
        <f>[8]Քաղաքային!D70+[8]Գյուղական!D51</f>
        <v>41515</v>
      </c>
      <c r="E54" s="53">
        <f>[8]Քաղաքային!E70+[8]Գյուղական!E51</f>
        <v>41366</v>
      </c>
      <c r="F54" s="53">
        <f>[8]Քաղաքային!F70+[8]Գյուղական!F51</f>
        <v>41093</v>
      </c>
      <c r="G54" s="53">
        <f>[8]Քաղաքային!G70+[8]Գյուղական!G51</f>
        <v>40937</v>
      </c>
      <c r="H54" s="53">
        <f>[8]Քաղաքային!H70+[8]Գյուղական!H51</f>
        <v>40825</v>
      </c>
      <c r="I54" s="53">
        <f>[3]Քաղաքային!I70+[3]Գյուղական!I51</f>
        <v>40687</v>
      </c>
      <c r="J54" s="53">
        <f>[4]Քաղաքային!J70+[4]Գյուղական!J51</f>
        <v>40474</v>
      </c>
      <c r="K54" s="53">
        <f>[5]Քաղաքային!K70+[5]Գյուղական!K51</f>
        <v>40519</v>
      </c>
      <c r="L54" s="53">
        <f>[6]Քաղաքային!L70+[6]Գյուղական!L51</f>
        <v>40043</v>
      </c>
      <c r="M54" s="53">
        <f>[7]Քաղաքային!M70+[7]Գյուղական!M51</f>
        <v>39811</v>
      </c>
    </row>
    <row r="55" spans="1:13" s="11" customFormat="1">
      <c r="A55" s="59" t="s">
        <v>40</v>
      </c>
      <c r="B55" s="53">
        <f>[8]Քաղաքային!B71+[8]Քաղաքային!B72+[8]Գյուղական!B52</f>
        <v>11377</v>
      </c>
      <c r="C55" s="53">
        <f>[8]Քաղաքային!C71+[8]Քաղաքային!C72+[8]Գյուղական!C52</f>
        <v>11379</v>
      </c>
      <c r="D55" s="53">
        <f>[8]Քաղաքային!D71+[8]Քաղաքային!D72+[8]Գյուղական!D52</f>
        <v>11371</v>
      </c>
      <c r="E55" s="53">
        <f>[8]Քաղաքային!E71+[8]Քաղաքային!E72+[8]Գյուղական!E52</f>
        <v>11248</v>
      </c>
      <c r="F55" s="53">
        <f>[8]Քաղաքային!F71+[8]Քաղաքային!F72+[8]Գյուղական!F52</f>
        <v>11139</v>
      </c>
      <c r="G55" s="53">
        <f>[8]Քաղաքային!G71+[8]Քաղաքային!G72+[8]Գյուղական!G52</f>
        <v>11027</v>
      </c>
      <c r="H55" s="53">
        <f>[8]Քաղաքային!H71+[8]Քաղաքային!H72+[8]Գյուղական!H52</f>
        <v>10938</v>
      </c>
      <c r="I55" s="53">
        <f>[3]Քաղաքային!I71+[3]Քաղաքային!I72+[3]Գյուղական!I52</f>
        <v>10866</v>
      </c>
      <c r="J55" s="53">
        <f>[4]Քաղաքային!J71+[4]Քաղաքային!J72+[4]Գյուղական!J52</f>
        <v>10757</v>
      </c>
      <c r="K55" s="53">
        <f>[5]Քաղաքային!K71+[5]Քաղաքային!K72+[5]Գյուղական!K52</f>
        <v>10670</v>
      </c>
      <c r="L55" s="53">
        <f>[6]Քաղաքային!L71+[6]Քաղաքային!L72+[6]Գյուղական!L52</f>
        <v>10360</v>
      </c>
      <c r="M55" s="53">
        <f>[7]Քաղաքային!M71+[7]Քաղաքային!M72+[7]Գյուղական!M52</f>
        <v>10196</v>
      </c>
    </row>
    <row r="56" spans="1:13" s="11" customFormat="1">
      <c r="A56" s="59" t="s">
        <v>41</v>
      </c>
      <c r="B56" s="53">
        <f>[8]Քաղաքային!B73+[8]Քաղաքային!B74+[8]Գյուղական!B53</f>
        <v>30265</v>
      </c>
      <c r="C56" s="53">
        <f>[8]Քաղաքային!C73+[8]Քաղաքային!C74+[8]Գյուղական!C53</f>
        <v>30238</v>
      </c>
      <c r="D56" s="53">
        <f>[8]Քաղաքային!D73+[8]Քաղաքային!D74+[8]Գյուղական!D53</f>
        <v>30291</v>
      </c>
      <c r="E56" s="53">
        <f>[8]Քաղաքային!E73+[8]Քաղաքային!E74+[8]Գյուղական!E53</f>
        <v>30241</v>
      </c>
      <c r="F56" s="53">
        <f>[8]Քաղաքային!F73+[8]Քաղաքային!F74+[8]Գյուղական!F53</f>
        <v>30150</v>
      </c>
      <c r="G56" s="53">
        <f>[8]Քաղաքային!G73+[8]Քաղաքային!G74+[8]Գյուղական!G53</f>
        <v>30067</v>
      </c>
      <c r="H56" s="53">
        <f>[8]Քաղաքային!H73+[8]Քաղաքային!H74+[8]Գյուղական!H53</f>
        <v>29958</v>
      </c>
      <c r="I56" s="53">
        <f>[3]Քաղաքային!I73+[3]Քաղաքային!I74+[3]Գյուղական!I53</f>
        <v>29890</v>
      </c>
      <c r="J56" s="53">
        <f>[4]Քաղաքային!J73+[4]Քաղաքային!J74+[4]Գյուղական!J53</f>
        <v>29770</v>
      </c>
      <c r="K56" s="53">
        <f>[5]Քաղաքային!K73+[5]Քաղաքային!K74+[5]Գյուղական!K53</f>
        <v>29717</v>
      </c>
      <c r="L56" s="53">
        <f>[6]Քաղաքային!L73+[6]Քաղաքային!L74+[6]Գյուղական!L53</f>
        <v>29345</v>
      </c>
      <c r="M56" s="53">
        <f>[7]Քաղաքային!M73+[7]Քաղաքային!M74+[7]Գյուղական!M53</f>
        <v>29202</v>
      </c>
    </row>
    <row r="57" spans="1:13" ht="8.25" customHeight="1">
      <c r="A57" s="31"/>
      <c r="B57" s="54"/>
      <c r="C57" s="55"/>
      <c r="D57" s="54"/>
      <c r="E57" s="31"/>
      <c r="F57" s="31"/>
      <c r="G57" s="31"/>
      <c r="H57" s="31"/>
      <c r="I57" s="31"/>
      <c r="J57" s="31"/>
      <c r="K57" s="31"/>
      <c r="L57" s="31"/>
    </row>
    <row r="58" spans="1:13" s="4" customFormat="1">
      <c r="A58" s="57" t="s">
        <v>42</v>
      </c>
      <c r="B58" s="45">
        <f t="shared" ref="B58:H58" si="9">B59+B60</f>
        <v>52324</v>
      </c>
      <c r="C58" s="45">
        <f t="shared" si="9"/>
        <v>52367</v>
      </c>
      <c r="D58" s="45">
        <f t="shared" si="9"/>
        <v>52252</v>
      </c>
      <c r="E58" s="45">
        <f t="shared" si="9"/>
        <v>51702</v>
      </c>
      <c r="F58" s="45">
        <f t="shared" si="9"/>
        <v>51406</v>
      </c>
      <c r="G58" s="45">
        <f t="shared" si="9"/>
        <v>50836</v>
      </c>
      <c r="H58" s="45">
        <f t="shared" si="9"/>
        <v>50277</v>
      </c>
      <c r="I58" s="45">
        <f>I59+I60</f>
        <v>49633</v>
      </c>
      <c r="J58" s="45">
        <f>J59+J60</f>
        <v>48970</v>
      </c>
      <c r="K58" s="45">
        <f>K59+K60</f>
        <v>48508</v>
      </c>
      <c r="L58" s="45">
        <f>L59+L60</f>
        <v>48124</v>
      </c>
      <c r="M58" s="45">
        <f>M59+M60</f>
        <v>47584</v>
      </c>
    </row>
    <row r="59" spans="1:13" s="11" customFormat="1">
      <c r="A59" s="59" t="s">
        <v>43</v>
      </c>
      <c r="B59" s="53">
        <f>[8]Քաղաքային!B77+[8]Գյուղական!B56</f>
        <v>33995</v>
      </c>
      <c r="C59" s="53">
        <f>[8]Քաղաքային!C77+[8]Գյուղական!C56</f>
        <v>34028</v>
      </c>
      <c r="D59" s="53">
        <f>[8]Քաղաքային!D77+[8]Գյուղական!D56</f>
        <v>33969</v>
      </c>
      <c r="E59" s="53">
        <f>[8]Քաղաքային!E77+[8]Գյուղական!E56</f>
        <v>33610</v>
      </c>
      <c r="F59" s="53">
        <f>[8]Քաղաքային!F77+[8]Գյուղական!F56</f>
        <v>33426</v>
      </c>
      <c r="G59" s="53">
        <f>[8]Քաղաքային!G77+[8]Գյուղական!G56</f>
        <v>33096</v>
      </c>
      <c r="H59" s="53">
        <f>[8]Քաղաքային!H77+[8]Գյուղական!H56</f>
        <v>32698</v>
      </c>
      <c r="I59" s="53">
        <f>[3]Քաղաքային!I77+[3]Գյուղական!I56</f>
        <v>32245</v>
      </c>
      <c r="J59" s="53">
        <f>[4]Քաղաքային!J77+[4]Գյուղական!J56</f>
        <v>31769</v>
      </c>
      <c r="K59" s="53">
        <f>[5]Քաղաքային!K77+[5]Գյուղական!K56</f>
        <v>31468</v>
      </c>
      <c r="L59" s="53">
        <f>[6]Քաղաքային!L77+[6]Գյուղական!L56</f>
        <v>31274</v>
      </c>
      <c r="M59" s="53">
        <f>[7]Քաղաքային!M77+[7]Գյուղական!M56</f>
        <v>31058</v>
      </c>
    </row>
    <row r="60" spans="1:13" s="11" customFormat="1">
      <c r="A60" s="59" t="s">
        <v>44</v>
      </c>
      <c r="B60" s="53">
        <f>[8]Քաղաքային!B78+[8]Քաղաքային!B79+[8]Գյուղական!B57</f>
        <v>18329</v>
      </c>
      <c r="C60" s="53">
        <f>[8]Քաղաքային!C78+[8]Քաղաքային!C79+[8]Գյուղական!C57</f>
        <v>18339</v>
      </c>
      <c r="D60" s="53">
        <f>[8]Քաղաքային!D78+[8]Քաղաքային!D79+[8]Գյուղական!D57</f>
        <v>18283</v>
      </c>
      <c r="E60" s="53">
        <f>[8]Քաղաքային!E78+[8]Քաղաքային!E79+[8]Գյուղական!E57</f>
        <v>18092</v>
      </c>
      <c r="F60" s="53">
        <f>[8]Քաղաքային!F78+[8]Քաղաքային!F79+[8]Գյուղական!F57</f>
        <v>17980</v>
      </c>
      <c r="G60" s="53">
        <f>[8]Քաղաքային!G78+[8]Քաղաքային!G79+[8]Գյուղական!G57</f>
        <v>17740</v>
      </c>
      <c r="H60" s="53">
        <f>[8]Քաղաքային!H78+[8]Քաղաքային!H79+[8]Գյուղական!H57</f>
        <v>17579</v>
      </c>
      <c r="I60" s="53">
        <f>[3]Քաղաքային!I78+[3]Քաղաքային!I79+[3]Գյուղական!I57</f>
        <v>17388</v>
      </c>
      <c r="J60" s="53">
        <f>[4]Քաղաքային!J78+[4]Քաղաքային!J79+[4]Գյուղական!J57</f>
        <v>17201</v>
      </c>
      <c r="K60" s="53">
        <f>[5]Քաղաքային!K78+[5]Քաղաքային!K79+[5]Գյուղական!K57</f>
        <v>17040</v>
      </c>
      <c r="L60" s="53">
        <f>[6]Քաղաքային!L78+[6]Քաղաքային!L79+[6]Գյուղական!L57</f>
        <v>16850</v>
      </c>
      <c r="M60" s="53">
        <f>[7]Քաղաքային!M78+[7]Քաղաքային!M79+[7]Գյուղական!M57</f>
        <v>16526</v>
      </c>
    </row>
    <row r="61" spans="1:13" ht="11.25" customHeight="1">
      <c r="A61" s="31"/>
      <c r="B61" s="54"/>
      <c r="C61" s="55"/>
      <c r="D61" s="54"/>
      <c r="E61" s="54"/>
      <c r="F61" s="54"/>
      <c r="G61" s="31"/>
      <c r="H61" s="31"/>
      <c r="I61" s="31"/>
      <c r="J61" s="31"/>
      <c r="K61" s="31"/>
      <c r="L61" s="31"/>
    </row>
    <row r="62" spans="1:13" s="4" customFormat="1">
      <c r="A62" s="57" t="s">
        <v>45</v>
      </c>
      <c r="B62" s="45">
        <f t="shared" ref="B62:H62" si="10">B63+B64+B65+B66</f>
        <v>128609</v>
      </c>
      <c r="C62" s="45">
        <f t="shared" si="10"/>
        <v>128621</v>
      </c>
      <c r="D62" s="45">
        <f t="shared" si="10"/>
        <v>128342</v>
      </c>
      <c r="E62" s="45">
        <f t="shared" si="10"/>
        <v>127574</v>
      </c>
      <c r="F62" s="45">
        <f t="shared" si="10"/>
        <v>126677</v>
      </c>
      <c r="G62" s="45">
        <f t="shared" si="10"/>
        <v>125514</v>
      </c>
      <c r="H62" s="45">
        <f t="shared" si="10"/>
        <v>124475</v>
      </c>
      <c r="I62" s="45">
        <f>I63+I64+I65+I66</f>
        <v>123493</v>
      </c>
      <c r="J62" s="45">
        <f>J63+J64+J65+J66</f>
        <v>122242</v>
      </c>
      <c r="K62" s="45">
        <f>K63+K64+K65+K66</f>
        <v>121476</v>
      </c>
      <c r="L62" s="45">
        <f>L63+L64+L65+L66</f>
        <v>120534</v>
      </c>
      <c r="M62" s="45">
        <f>M63+M64+M65+M66</f>
        <v>119759</v>
      </c>
    </row>
    <row r="63" spans="1:13" s="11" customFormat="1">
      <c r="A63" s="59" t="s">
        <v>46</v>
      </c>
      <c r="B63" s="53">
        <f>[8]Քաղաքային!B82+[8]Գյուղական!B60</f>
        <v>47874</v>
      </c>
      <c r="C63" s="53">
        <f>[8]Քաղաքային!C82+[8]Գյուղական!C60</f>
        <v>47917</v>
      </c>
      <c r="D63" s="53">
        <f>[8]Քաղաքային!D82+[8]Գյուղական!D60</f>
        <v>48070</v>
      </c>
      <c r="E63" s="53">
        <f>[8]Քաղաքային!E82+[8]Գյուղական!E60</f>
        <v>47981</v>
      </c>
      <c r="F63" s="53">
        <f>[8]Քաղաքային!F82+[8]Գյուղական!F60</f>
        <v>47865</v>
      </c>
      <c r="G63" s="53">
        <f>[8]Քաղաքային!G82+[8]Գյուղական!G60</f>
        <v>47717</v>
      </c>
      <c r="H63" s="53">
        <f>[8]Քաղաքային!H82+[8]Գյուղական!H60</f>
        <v>47661</v>
      </c>
      <c r="I63" s="53">
        <f>[3]Քաղաքային!I82+[3]Գյուղական!I60</f>
        <v>47590</v>
      </c>
      <c r="J63" s="53">
        <f>[4]Քաղաքային!J82+[4]Գյուղական!J60</f>
        <v>47451</v>
      </c>
      <c r="K63" s="53">
        <f>[5]Քաղաքային!K82+[5]Գյուղական!K60</f>
        <v>47407</v>
      </c>
      <c r="L63" s="53">
        <f>[6]Քաղաքային!L82+[6]Գյուղական!L60</f>
        <v>47250</v>
      </c>
      <c r="M63" s="53">
        <f>[7]Քաղաքային!M82+[7]Գյուղական!M60</f>
        <v>47007</v>
      </c>
    </row>
    <row r="64" spans="1:13">
      <c r="A64" s="58" t="s">
        <v>119</v>
      </c>
      <c r="B64" s="53">
        <f>[8]Քաղաքային!B83+[8]Գյուղական!B61</f>
        <v>23960</v>
      </c>
      <c r="C64" s="53">
        <f>[8]Քաղաքային!C83+[8]Գյուղական!C61</f>
        <v>23975</v>
      </c>
      <c r="D64" s="53">
        <f>[8]Քաղաքային!D83+[8]Գյուղական!D61</f>
        <v>23918</v>
      </c>
      <c r="E64" s="53">
        <f>[8]Քաղաքային!E83+[8]Գյուղական!E61</f>
        <v>23840</v>
      </c>
      <c r="F64" s="53">
        <f>[8]Քաղաքային!F83+[8]Գյուղական!F61</f>
        <v>23705</v>
      </c>
      <c r="G64" s="53">
        <f>[8]Քաղաքային!G83+[8]Գյուղական!G61</f>
        <v>23525</v>
      </c>
      <c r="H64" s="53">
        <f>[8]Քաղաքային!H83+[8]Գյուղական!H61</f>
        <v>23359</v>
      </c>
      <c r="I64" s="53">
        <f>[3]Քաղաքային!I83+[3]Գյուղական!I61</f>
        <v>23207</v>
      </c>
      <c r="J64" s="53">
        <f>[4]Քաղաքային!J83+[4]Գյուղական!J61</f>
        <v>22976</v>
      </c>
      <c r="K64" s="53">
        <f>[5]Քաղաքային!K83+[5]Գյուղական!K61</f>
        <v>22805</v>
      </c>
      <c r="L64" s="53">
        <f>[6]Քաղաքային!L83+[6]Գյուղական!L61</f>
        <v>22682</v>
      </c>
      <c r="M64" s="53">
        <f>[7]Քաղաքային!M83+[7]Գյուղական!M61</f>
        <v>22587</v>
      </c>
    </row>
    <row r="65" spans="1:13" s="9" customFormat="1" ht="21" customHeight="1">
      <c r="A65" s="59" t="s">
        <v>48</v>
      </c>
      <c r="B65" s="52">
        <f>[8]Քաղաքային!B84+[8]Քաղաքային!B85+[8]Գյուղական!B62</f>
        <v>29346</v>
      </c>
      <c r="C65" s="52">
        <f>[8]Քաղաքային!C84+[8]Քաղաքային!C85+[8]Գյուղական!C62</f>
        <v>29333</v>
      </c>
      <c r="D65" s="52">
        <f>[8]Քաղաքային!D84+[8]Քաղաքային!D85+[8]Գյուղական!D62</f>
        <v>29249</v>
      </c>
      <c r="E65" s="52">
        <f>[8]Քաղաքային!E84+[8]Քաղաքային!E85+[8]Գյուղական!E62</f>
        <v>29044</v>
      </c>
      <c r="F65" s="52">
        <f>[8]Քաղաքային!F84+[8]Քաղաքային!F85+[8]Գյուղական!F62</f>
        <v>28807</v>
      </c>
      <c r="G65" s="52">
        <f>[8]Քաղաքային!G84+[8]Քաղաքային!G85+[8]Գյուղական!G62</f>
        <v>28423</v>
      </c>
      <c r="H65" s="52">
        <f>[8]Քաղաքային!H84+[8]Քաղաքային!H85+[8]Գյուղական!H62</f>
        <v>28070</v>
      </c>
      <c r="I65" s="52">
        <f>[3]Քաղաքային!I84+[3]Քաղաքային!I85+[3]Գյուղական!I62</f>
        <v>27750</v>
      </c>
      <c r="J65" s="52">
        <f>[4]Քաղաքային!J84+[4]Քաղաքային!J85+[4]Գյուղական!J62</f>
        <v>27424</v>
      </c>
      <c r="K65" s="52">
        <f>[5]Քաղաքային!K84+[5]Քաղաքային!K85+[5]Գյուղական!K62</f>
        <v>27242</v>
      </c>
      <c r="L65" s="52">
        <f>[6]Քաղաքային!L84+[6]Քաղաքային!L85+[6]Գյուղական!L62</f>
        <v>27100</v>
      </c>
      <c r="M65" s="52">
        <f>[7]Քաղաքային!M84+[7]Քաղաքային!M85+[7]Գյուղական!M62</f>
        <v>26865</v>
      </c>
    </row>
    <row r="66" spans="1:13" s="9" customFormat="1" ht="19.5" customHeight="1">
      <c r="A66" s="59" t="s">
        <v>49</v>
      </c>
      <c r="B66" s="53">
        <f>[8]Քաղաքային!B86+[8]Գյուղական!B63</f>
        <v>27429</v>
      </c>
      <c r="C66" s="53">
        <f>[8]Քաղաքային!C86+[8]Գյուղական!C63</f>
        <v>27396</v>
      </c>
      <c r="D66" s="53">
        <f>[8]Քաղաքային!D86+[8]Գյուղական!D63</f>
        <v>27105</v>
      </c>
      <c r="E66" s="53">
        <f>[8]Քաղաքային!E86+[8]Գյուղական!E63</f>
        <v>26709</v>
      </c>
      <c r="F66" s="53">
        <f>[8]Քաղաքային!F86+[8]Գյուղական!F63</f>
        <v>26300</v>
      </c>
      <c r="G66" s="53">
        <f>[8]Քաղաքային!G86+[8]Գյուղական!G63</f>
        <v>25849</v>
      </c>
      <c r="H66" s="53">
        <f>[8]Քաղաքային!H86+[8]Գյուղական!H63</f>
        <v>25385</v>
      </c>
      <c r="I66" s="53">
        <f>[3]Քաղաքային!I86+[3]Գյուղական!I63</f>
        <v>24946</v>
      </c>
      <c r="J66" s="53">
        <f>[4]Քաղաքային!J86+[4]Գյուղական!J63</f>
        <v>24391</v>
      </c>
      <c r="K66" s="53">
        <f>[5]Քաղաքային!K86+[5]Գյուղական!K63</f>
        <v>24022</v>
      </c>
      <c r="L66" s="53">
        <f>[6]Քաղաքային!L86+[6]Գյուղական!L63</f>
        <v>23502</v>
      </c>
      <c r="M66" s="53">
        <f>[7]Քաղաքային!M86+[7]Գյուղական!M63</f>
        <v>23300</v>
      </c>
    </row>
    <row r="68" spans="1:13">
      <c r="C68" s="16"/>
      <c r="D68" s="7"/>
    </row>
    <row r="69" spans="1:13" s="19" customFormat="1" ht="19">
      <c r="A69" s="25" t="s">
        <v>122</v>
      </c>
      <c r="B69" s="2"/>
      <c r="C69" s="17"/>
      <c r="D69" s="18"/>
      <c r="G69" s="33"/>
      <c r="H69" s="33"/>
      <c r="I69" s="33"/>
      <c r="J69" s="33"/>
      <c r="K69" s="33"/>
      <c r="L69" s="33"/>
      <c r="M69" s="33"/>
    </row>
    <row r="70" spans="1:13" ht="19">
      <c r="A70" s="25" t="s">
        <v>123</v>
      </c>
      <c r="B70" s="2"/>
      <c r="C70" s="10"/>
      <c r="D70" s="7"/>
    </row>
  </sheetData>
  <mergeCells count="5">
    <mergeCell ref="B3:C3"/>
    <mergeCell ref="A2:B2"/>
    <mergeCell ref="C2:D2"/>
    <mergeCell ref="E2:F2"/>
    <mergeCell ref="D3:F3"/>
  </mergeCells>
  <phoneticPr fontId="0" type="noConversion"/>
  <pageMargins left="0.27" right="0.14000000000000001" top="0.25" bottom="0.35" header="0.15" footer="0.22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J98"/>
  <sheetViews>
    <sheetView zoomScaleNormal="100" workbookViewId="0">
      <selection activeCell="H66" sqref="H66"/>
    </sheetView>
  </sheetViews>
  <sheetFormatPr baseColWidth="10" defaultColWidth="9.1640625" defaultRowHeight="17"/>
  <cols>
    <col min="1" max="1" width="36.5" style="2" customWidth="1"/>
    <col min="2" max="2" width="12.6640625" style="14" customWidth="1"/>
    <col min="3" max="3" width="14.83203125" style="2" customWidth="1"/>
    <col min="4" max="4" width="18.33203125" style="2" customWidth="1"/>
    <col min="5" max="5" width="14.33203125" style="2" customWidth="1"/>
    <col min="6" max="6" width="12.5" style="2" customWidth="1"/>
    <col min="7" max="8" width="14.5" style="34" customWidth="1"/>
    <col min="9" max="10" width="14.5" style="13" customWidth="1"/>
    <col min="11" max="11" width="14.6640625" style="41" customWidth="1"/>
    <col min="12" max="13" width="15.5" style="41" customWidth="1"/>
    <col min="14" max="16384" width="9.1640625" style="2"/>
  </cols>
  <sheetData>
    <row r="1" spans="1:244" ht="19">
      <c r="A1" s="20" t="s">
        <v>124</v>
      </c>
      <c r="B1" s="2"/>
      <c r="C1" s="20"/>
      <c r="E1" s="15"/>
      <c r="F1" s="15"/>
      <c r="I1" s="2"/>
      <c r="J1" s="2"/>
    </row>
    <row r="2" spans="1:244">
      <c r="A2" s="108" t="s">
        <v>51</v>
      </c>
      <c r="B2" s="109"/>
      <c r="C2" s="21"/>
    </row>
    <row r="3" spans="1:244">
      <c r="A3" s="27"/>
      <c r="B3" s="28"/>
      <c r="C3" s="22"/>
      <c r="D3" s="110"/>
      <c r="E3" s="110"/>
      <c r="F3" s="110"/>
      <c r="G3" s="35"/>
      <c r="K3" s="35"/>
      <c r="L3" s="35"/>
      <c r="M3" s="35" t="s">
        <v>125</v>
      </c>
    </row>
    <row r="4" spans="1:244" ht="15">
      <c r="A4" s="26" t="s">
        <v>52</v>
      </c>
      <c r="B4" s="23" t="s">
        <v>121</v>
      </c>
      <c r="C4" s="23">
        <v>2012</v>
      </c>
      <c r="D4" s="23">
        <v>2013</v>
      </c>
      <c r="E4" s="29">
        <v>2014</v>
      </c>
      <c r="F4" s="36">
        <v>2015</v>
      </c>
      <c r="G4" s="38">
        <v>2016</v>
      </c>
      <c r="H4" s="38">
        <v>2017</v>
      </c>
      <c r="I4" s="29">
        <v>2018</v>
      </c>
      <c r="J4" s="29">
        <v>2019</v>
      </c>
      <c r="K4" s="42">
        <v>2020</v>
      </c>
      <c r="L4" s="42">
        <v>2021</v>
      </c>
      <c r="M4" s="42">
        <v>2022</v>
      </c>
    </row>
    <row r="5" spans="1:244" ht="19.5" customHeight="1">
      <c r="A5" s="61" t="s">
        <v>1</v>
      </c>
      <c r="B5" s="62">
        <f>B6+B20+B25+B31+B36+B43+B53+B62+B67+B76+B81</f>
        <v>1911287</v>
      </c>
      <c r="C5" s="45">
        <v>1912645</v>
      </c>
      <c r="D5" s="45">
        <v>1917457</v>
      </c>
      <c r="E5" s="45">
        <f t="shared" ref="E5:J5" si="0">E6+E20+E25+E31+E36+E43+E53+E62+E67+E76+E81</f>
        <v>1914048</v>
      </c>
      <c r="F5" s="45">
        <f t="shared" si="0"/>
        <v>1912928</v>
      </c>
      <c r="G5" s="63">
        <f t="shared" si="0"/>
        <v>1907006</v>
      </c>
      <c r="H5" s="45">
        <f t="shared" si="0"/>
        <v>1901453</v>
      </c>
      <c r="I5" s="45">
        <f t="shared" si="0"/>
        <v>1895807</v>
      </c>
      <c r="J5" s="45">
        <f t="shared" si="0"/>
        <v>1894917</v>
      </c>
      <c r="K5" s="64">
        <f>K6+K20+K25+K31+K36+K43+K53+K62+K67+K76+K81</f>
        <v>1892086</v>
      </c>
      <c r="L5" s="64">
        <f>L6+L20+L25+L31+L36+L43+L53+L62+L67+L76+L81</f>
        <v>1895555</v>
      </c>
      <c r="M5" s="64">
        <f>M6+M20+M25+M31+M36+M43+M53+M62+M67+M76+M81</f>
        <v>1892147</v>
      </c>
    </row>
    <row r="6" spans="1:244" ht="19.5" customHeight="1">
      <c r="A6" s="61" t="s">
        <v>53</v>
      </c>
      <c r="B6" s="65">
        <f>SUM(B7:B18)</f>
        <v>1060138</v>
      </c>
      <c r="C6" s="65">
        <f>SUM(C7:C18)</f>
        <v>1061044</v>
      </c>
      <c r="D6" s="65">
        <f>SUM(D7:D18)</f>
        <v>1066264</v>
      </c>
      <c r="E6" s="66">
        <f t="shared" ref="E6:K6" si="1">E7+E8+E9+E10+E11+E12+E13+E14+E15+E16+E17+E18</f>
        <v>1068306</v>
      </c>
      <c r="F6" s="66">
        <f t="shared" si="1"/>
        <v>1071511</v>
      </c>
      <c r="G6" s="67">
        <f t="shared" si="1"/>
        <v>1073660</v>
      </c>
      <c r="H6" s="65">
        <f t="shared" si="1"/>
        <v>1075841</v>
      </c>
      <c r="I6" s="65">
        <f t="shared" si="1"/>
        <v>1077590</v>
      </c>
      <c r="J6" s="65">
        <f t="shared" si="1"/>
        <v>1081874</v>
      </c>
      <c r="K6" s="68">
        <f t="shared" si="1"/>
        <v>1084024</v>
      </c>
      <c r="L6" s="68">
        <f>L7+L8+L9+L10+L11+L12+L13+L14+L15+L16+L17+L18</f>
        <v>1091747</v>
      </c>
      <c r="M6" s="68">
        <f>M7+M8+M9+M10+M11+M12+M13+M14+M15+M16+M17+M18</f>
        <v>1092778</v>
      </c>
    </row>
    <row r="7" spans="1:244" s="6" customFormat="1">
      <c r="A7" s="69" t="s">
        <v>54</v>
      </c>
      <c r="B7" s="70">
        <v>108282</v>
      </c>
      <c r="C7" s="71">
        <v>108358</v>
      </c>
      <c r="D7" s="71">
        <v>108670</v>
      </c>
      <c r="E7" s="70">
        <v>108761</v>
      </c>
      <c r="F7" s="72">
        <v>108953</v>
      </c>
      <c r="G7" s="73">
        <v>109048</v>
      </c>
      <c r="H7" s="73">
        <v>109252</v>
      </c>
      <c r="I7" s="73">
        <v>109265</v>
      </c>
      <c r="J7" s="73">
        <v>109675</v>
      </c>
      <c r="K7" s="74">
        <v>109783</v>
      </c>
      <c r="L7" s="74">
        <v>110503</v>
      </c>
      <c r="M7" s="74">
        <v>110425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</row>
    <row r="8" spans="1:244" s="6" customFormat="1">
      <c r="A8" s="69" t="s">
        <v>55</v>
      </c>
      <c r="B8" s="70">
        <v>53231</v>
      </c>
      <c r="C8" s="71">
        <v>53218</v>
      </c>
      <c r="D8" s="71">
        <v>53244</v>
      </c>
      <c r="E8" s="70">
        <v>53149</v>
      </c>
      <c r="F8" s="72">
        <v>53137</v>
      </c>
      <c r="G8" s="73">
        <v>53093</v>
      </c>
      <c r="H8" s="73">
        <v>52997</v>
      </c>
      <c r="I8" s="73">
        <v>52898</v>
      </c>
      <c r="J8" s="73">
        <v>52909</v>
      </c>
      <c r="K8" s="74">
        <v>52869</v>
      </c>
      <c r="L8" s="74">
        <v>53155</v>
      </c>
      <c r="M8" s="74">
        <v>53309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</row>
    <row r="9" spans="1:244" s="6" customFormat="1">
      <c r="A9" s="69" t="s">
        <v>56</v>
      </c>
      <c r="B9" s="70">
        <v>117704</v>
      </c>
      <c r="C9" s="71">
        <v>117633</v>
      </c>
      <c r="D9" s="71">
        <v>117231</v>
      </c>
      <c r="E9" s="70">
        <v>116716</v>
      </c>
      <c r="F9" s="72">
        <v>116199</v>
      </c>
      <c r="G9" s="73">
        <v>115770</v>
      </c>
      <c r="H9" s="73">
        <v>115386</v>
      </c>
      <c r="I9" s="73">
        <v>114963</v>
      </c>
      <c r="J9" s="73">
        <v>114804</v>
      </c>
      <c r="K9" s="74">
        <v>114461</v>
      </c>
      <c r="L9" s="74">
        <v>115169</v>
      </c>
      <c r="M9" s="74">
        <v>114972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</row>
    <row r="10" spans="1:244" s="6" customFormat="1">
      <c r="A10" s="69" t="s">
        <v>57</v>
      </c>
      <c r="B10" s="70">
        <v>42380</v>
      </c>
      <c r="C10" s="71">
        <v>42383</v>
      </c>
      <c r="D10" s="71">
        <v>42458</v>
      </c>
      <c r="E10" s="70">
        <v>42470</v>
      </c>
      <c r="F10" s="72">
        <v>42490</v>
      </c>
      <c r="G10" s="73">
        <v>42480</v>
      </c>
      <c r="H10" s="73">
        <v>42489</v>
      </c>
      <c r="I10" s="73">
        <v>42465</v>
      </c>
      <c r="J10" s="73">
        <v>42528</v>
      </c>
      <c r="K10" s="74">
        <v>42517</v>
      </c>
      <c r="L10" s="74">
        <v>43121</v>
      </c>
      <c r="M10" s="74">
        <v>43324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</row>
    <row r="11" spans="1:244" s="6" customFormat="1">
      <c r="A11" s="69" t="s">
        <v>58</v>
      </c>
      <c r="B11" s="70">
        <v>123092</v>
      </c>
      <c r="C11" s="71">
        <v>123261</v>
      </c>
      <c r="D11" s="71">
        <v>124406</v>
      </c>
      <c r="E11" s="70">
        <v>124997</v>
      </c>
      <c r="F11" s="72">
        <v>125827</v>
      </c>
      <c r="G11" s="73">
        <v>126542</v>
      </c>
      <c r="H11" s="73">
        <v>127200</v>
      </c>
      <c r="I11" s="73">
        <v>127779</v>
      </c>
      <c r="J11" s="73">
        <v>128595</v>
      </c>
      <c r="K11" s="74">
        <v>129316</v>
      </c>
      <c r="L11" s="74">
        <v>129966</v>
      </c>
      <c r="M11" s="74">
        <v>130051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</row>
    <row r="12" spans="1:244" s="6" customFormat="1">
      <c r="A12" s="69" t="s">
        <v>59</v>
      </c>
      <c r="B12" s="70">
        <v>125453</v>
      </c>
      <c r="C12" s="71">
        <v>125548</v>
      </c>
      <c r="D12" s="71">
        <v>126020</v>
      </c>
      <c r="E12" s="70">
        <v>125837</v>
      </c>
      <c r="F12" s="72">
        <v>125835</v>
      </c>
      <c r="G12" s="73">
        <v>125674</v>
      </c>
      <c r="H12" s="73">
        <v>125629</v>
      </c>
      <c r="I12" s="73">
        <v>125481</v>
      </c>
      <c r="J12" s="73">
        <v>125722</v>
      </c>
      <c r="K12" s="74">
        <v>125519</v>
      </c>
      <c r="L12" s="74">
        <v>126179</v>
      </c>
      <c r="M12" s="74">
        <v>125875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</row>
    <row r="13" spans="1:244" s="6" customFormat="1">
      <c r="A13" s="69" t="s">
        <v>60</v>
      </c>
      <c r="B13" s="70">
        <v>132900</v>
      </c>
      <c r="C13" s="71">
        <v>133005</v>
      </c>
      <c r="D13" s="71">
        <v>133719</v>
      </c>
      <c r="E13" s="70">
        <v>134365</v>
      </c>
      <c r="F13" s="72">
        <v>135190</v>
      </c>
      <c r="G13" s="73">
        <v>135916</v>
      </c>
      <c r="H13" s="73">
        <v>136679</v>
      </c>
      <c r="I13" s="73">
        <v>137545</v>
      </c>
      <c r="J13" s="73">
        <v>138601</v>
      </c>
      <c r="K13" s="74">
        <v>139345</v>
      </c>
      <c r="L13" s="74">
        <v>140618</v>
      </c>
      <c r="M13" s="74">
        <v>141025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</row>
    <row r="14" spans="1:244" s="6" customFormat="1">
      <c r="A14" s="69" t="s">
        <v>61</v>
      </c>
      <c r="B14" s="70">
        <v>126065</v>
      </c>
      <c r="C14" s="71">
        <v>126280</v>
      </c>
      <c r="D14" s="71">
        <v>127432</v>
      </c>
      <c r="E14" s="70">
        <v>128365</v>
      </c>
      <c r="F14" s="72">
        <v>129456</v>
      </c>
      <c r="G14" s="73">
        <v>130305</v>
      </c>
      <c r="H14" s="73">
        <v>131019</v>
      </c>
      <c r="I14" s="73">
        <v>131674</v>
      </c>
      <c r="J14" s="73">
        <v>132569</v>
      </c>
      <c r="K14" s="74">
        <v>133132</v>
      </c>
      <c r="L14" s="74">
        <v>134048</v>
      </c>
      <c r="M14" s="74">
        <v>134393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</row>
    <row r="15" spans="1:244" s="6" customFormat="1">
      <c r="A15" s="69" t="s">
        <v>62</v>
      </c>
      <c r="B15" s="70">
        <v>12049</v>
      </c>
      <c r="C15" s="71">
        <v>12032</v>
      </c>
      <c r="D15" s="71">
        <v>12006</v>
      </c>
      <c r="E15" s="70">
        <v>11941</v>
      </c>
      <c r="F15" s="72">
        <v>11891</v>
      </c>
      <c r="G15" s="73">
        <v>11835</v>
      </c>
      <c r="H15" s="73">
        <v>11779</v>
      </c>
      <c r="I15" s="73">
        <v>11734</v>
      </c>
      <c r="J15" s="73">
        <v>11693</v>
      </c>
      <c r="K15" s="74">
        <v>11648</v>
      </c>
      <c r="L15" s="74">
        <v>11883</v>
      </c>
      <c r="M15" s="74">
        <v>11942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</row>
    <row r="16" spans="1:244" s="6" customFormat="1">
      <c r="A16" s="69" t="s">
        <v>63</v>
      </c>
      <c r="B16" s="70">
        <v>9561</v>
      </c>
      <c r="C16" s="71">
        <v>9584</v>
      </c>
      <c r="D16" s="71">
        <v>9710</v>
      </c>
      <c r="E16" s="70">
        <v>9734</v>
      </c>
      <c r="F16" s="72">
        <v>9759</v>
      </c>
      <c r="G16" s="73">
        <v>9807</v>
      </c>
      <c r="H16" s="73">
        <v>9831</v>
      </c>
      <c r="I16" s="73">
        <v>9831</v>
      </c>
      <c r="J16" s="73">
        <v>9859</v>
      </c>
      <c r="K16" s="74">
        <v>9894</v>
      </c>
      <c r="L16" s="74">
        <v>10215</v>
      </c>
      <c r="M16" s="74">
        <v>10399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</row>
    <row r="17" spans="1:244" s="6" customFormat="1">
      <c r="A17" s="69" t="s">
        <v>64</v>
      </c>
      <c r="B17" s="70">
        <v>135535</v>
      </c>
      <c r="C17" s="71">
        <v>135826</v>
      </c>
      <c r="D17" s="71">
        <v>137158</v>
      </c>
      <c r="E17" s="70">
        <v>137786</v>
      </c>
      <c r="F17" s="72">
        <v>138558</v>
      </c>
      <c r="G17" s="73">
        <v>139074</v>
      </c>
      <c r="H17" s="73">
        <v>139596</v>
      </c>
      <c r="I17" s="73">
        <v>139983</v>
      </c>
      <c r="J17" s="73">
        <v>140697</v>
      </c>
      <c r="K17" s="74">
        <v>141206</v>
      </c>
      <c r="L17" s="74">
        <v>141960</v>
      </c>
      <c r="M17" s="74">
        <v>142042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</row>
    <row r="18" spans="1:244" s="6" customFormat="1">
      <c r="A18" s="69" t="s">
        <v>65</v>
      </c>
      <c r="B18" s="70">
        <v>73886</v>
      </c>
      <c r="C18" s="71">
        <v>73916</v>
      </c>
      <c r="D18" s="71">
        <v>74210</v>
      </c>
      <c r="E18" s="70">
        <v>74185</v>
      </c>
      <c r="F18" s="72">
        <v>74216</v>
      </c>
      <c r="G18" s="73">
        <v>74116</v>
      </c>
      <c r="H18" s="73">
        <v>73984</v>
      </c>
      <c r="I18" s="73">
        <v>73972</v>
      </c>
      <c r="J18" s="73">
        <v>74222</v>
      </c>
      <c r="K18" s="74">
        <v>74334</v>
      </c>
      <c r="L18" s="74">
        <v>74930</v>
      </c>
      <c r="M18" s="74">
        <v>75021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</row>
    <row r="19" spans="1:244">
      <c r="A19" s="31"/>
      <c r="B19" s="75"/>
      <c r="C19" s="73"/>
      <c r="D19" s="73"/>
      <c r="E19" s="76"/>
      <c r="F19" s="76"/>
      <c r="G19" s="76"/>
      <c r="H19" s="73"/>
      <c r="I19" s="73"/>
      <c r="J19" s="73"/>
      <c r="K19" s="77"/>
      <c r="L19" s="77"/>
      <c r="M19" s="77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</row>
    <row r="20" spans="1:244" s="4" customFormat="1">
      <c r="A20" s="61" t="s">
        <v>2</v>
      </c>
      <c r="B20" s="78">
        <f>B21+B22+B23</f>
        <v>30595</v>
      </c>
      <c r="C20" s="47">
        <f>C21+C22+C23</f>
        <v>30612</v>
      </c>
      <c r="D20" s="47">
        <v>30631</v>
      </c>
      <c r="E20" s="47">
        <f t="shared" ref="E20:K20" si="2">E21+E22+E23</f>
        <v>30317</v>
      </c>
      <c r="F20" s="47">
        <f t="shared" si="2"/>
        <v>29896</v>
      </c>
      <c r="G20" s="79">
        <f t="shared" si="2"/>
        <v>29049</v>
      </c>
      <c r="H20" s="47">
        <f t="shared" si="2"/>
        <v>28294</v>
      </c>
      <c r="I20" s="47">
        <f t="shared" si="2"/>
        <v>27602</v>
      </c>
      <c r="J20" s="47">
        <f t="shared" si="2"/>
        <v>26983</v>
      </c>
      <c r="K20" s="80">
        <f t="shared" si="2"/>
        <v>26793</v>
      </c>
      <c r="L20" s="80">
        <f>L21+L22+L23</f>
        <v>26565</v>
      </c>
      <c r="M20" s="80">
        <f>M21+M22+M23</f>
        <v>26545</v>
      </c>
    </row>
    <row r="21" spans="1:244" ht="19.5" customHeight="1">
      <c r="A21" s="81" t="s">
        <v>66</v>
      </c>
      <c r="B21" s="82">
        <v>18834</v>
      </c>
      <c r="C21" s="73">
        <v>18838</v>
      </c>
      <c r="D21" s="54">
        <v>18868</v>
      </c>
      <c r="E21" s="54">
        <v>18697</v>
      </c>
      <c r="F21" s="54">
        <v>18458</v>
      </c>
      <c r="G21" s="54">
        <v>18005</v>
      </c>
      <c r="H21" s="54">
        <v>17600</v>
      </c>
      <c r="I21" s="54">
        <v>17217</v>
      </c>
      <c r="J21" s="54">
        <v>16878</v>
      </c>
      <c r="K21" s="83">
        <v>16777</v>
      </c>
      <c r="L21" s="83">
        <v>16674</v>
      </c>
      <c r="M21" s="83">
        <v>16630</v>
      </c>
    </row>
    <row r="22" spans="1:244">
      <c r="A22" s="81" t="s">
        <v>67</v>
      </c>
      <c r="B22" s="82">
        <v>6451</v>
      </c>
      <c r="C22" s="73">
        <v>6459</v>
      </c>
      <c r="D22" s="54">
        <v>6469</v>
      </c>
      <c r="E22" s="54">
        <v>6456</v>
      </c>
      <c r="F22" s="54">
        <v>6413</v>
      </c>
      <c r="G22" s="54">
        <v>6291</v>
      </c>
      <c r="H22" s="54">
        <v>6165</v>
      </c>
      <c r="I22" s="54">
        <v>6059</v>
      </c>
      <c r="J22" s="54">
        <v>5958</v>
      </c>
      <c r="K22" s="83">
        <v>5944</v>
      </c>
      <c r="L22" s="83">
        <v>5872</v>
      </c>
      <c r="M22" s="83">
        <v>5873</v>
      </c>
    </row>
    <row r="23" spans="1:244">
      <c r="A23" s="81" t="s">
        <v>68</v>
      </c>
      <c r="B23" s="82">
        <v>5310</v>
      </c>
      <c r="C23" s="73">
        <v>5315</v>
      </c>
      <c r="D23" s="54">
        <v>5294</v>
      </c>
      <c r="E23" s="54">
        <v>5164</v>
      </c>
      <c r="F23" s="54">
        <v>5025</v>
      </c>
      <c r="G23" s="54">
        <v>4753</v>
      </c>
      <c r="H23" s="54">
        <v>4529</v>
      </c>
      <c r="I23" s="54">
        <v>4326</v>
      </c>
      <c r="J23" s="54">
        <v>4147</v>
      </c>
      <c r="K23" s="83">
        <v>4072</v>
      </c>
      <c r="L23" s="83">
        <v>4019</v>
      </c>
      <c r="M23" s="83">
        <v>4042</v>
      </c>
    </row>
    <row r="24" spans="1:244">
      <c r="A24" s="84"/>
      <c r="B24" s="43"/>
      <c r="C24" s="54"/>
      <c r="D24" s="54"/>
      <c r="E24" s="54"/>
      <c r="F24" s="31"/>
      <c r="G24" s="85"/>
      <c r="H24" s="54"/>
      <c r="I24" s="54"/>
      <c r="J24" s="54"/>
      <c r="K24" s="86"/>
      <c r="L24" s="86"/>
      <c r="M24" s="86"/>
    </row>
    <row r="25" spans="1:244" s="4" customFormat="1">
      <c r="A25" s="61" t="s">
        <v>7</v>
      </c>
      <c r="B25" s="78">
        <f>B26+B27+B28+B29</f>
        <v>74103</v>
      </c>
      <c r="C25" s="47">
        <f>C26+C27+C28+C29</f>
        <v>74184</v>
      </c>
      <c r="D25" s="47">
        <v>74486</v>
      </c>
      <c r="E25" s="87">
        <f t="shared" ref="E25:K25" si="3">E26+E27+E28+E29</f>
        <v>74412</v>
      </c>
      <c r="F25" s="87">
        <f t="shared" si="3"/>
        <v>73976</v>
      </c>
      <c r="G25" s="79">
        <f t="shared" si="3"/>
        <v>73108</v>
      </c>
      <c r="H25" s="47">
        <f t="shared" si="3"/>
        <v>72686</v>
      </c>
      <c r="I25" s="47">
        <f t="shared" si="3"/>
        <v>72384</v>
      </c>
      <c r="J25" s="47">
        <f t="shared" si="3"/>
        <v>72165</v>
      </c>
      <c r="K25" s="80">
        <f t="shared" si="3"/>
        <v>72128</v>
      </c>
      <c r="L25" s="80">
        <f>L26+L27+L28+L29</f>
        <v>71946</v>
      </c>
      <c r="M25" s="80">
        <f>M26+M27+M28+M29</f>
        <v>71969</v>
      </c>
    </row>
    <row r="26" spans="1:244">
      <c r="A26" s="81" t="s">
        <v>69</v>
      </c>
      <c r="B26" s="82">
        <v>22269</v>
      </c>
      <c r="C26" s="73">
        <v>22275</v>
      </c>
      <c r="D26" s="54">
        <v>22285</v>
      </c>
      <c r="E26" s="54">
        <v>22001</v>
      </c>
      <c r="F26" s="54">
        <v>21475</v>
      </c>
      <c r="G26" s="54">
        <v>20679</v>
      </c>
      <c r="H26" s="54">
        <v>20247</v>
      </c>
      <c r="I26" s="54">
        <v>19802</v>
      </c>
      <c r="J26" s="54">
        <v>19406</v>
      </c>
      <c r="K26" s="88">
        <v>19230</v>
      </c>
      <c r="L26" s="88">
        <v>19114</v>
      </c>
      <c r="M26" s="104">
        <v>19083</v>
      </c>
    </row>
    <row r="27" spans="1:244">
      <c r="A27" s="81" t="s">
        <v>70</v>
      </c>
      <c r="B27" s="82">
        <v>20235</v>
      </c>
      <c r="C27" s="73">
        <v>20244</v>
      </c>
      <c r="D27" s="54">
        <v>20306</v>
      </c>
      <c r="E27" s="54">
        <v>20345</v>
      </c>
      <c r="F27" s="54">
        <v>20369</v>
      </c>
      <c r="G27" s="54">
        <v>20366</v>
      </c>
      <c r="H27" s="54">
        <v>20366</v>
      </c>
      <c r="I27" s="54">
        <v>20395</v>
      </c>
      <c r="J27" s="54">
        <v>20421</v>
      </c>
      <c r="K27" s="83">
        <v>20445</v>
      </c>
      <c r="L27" s="83">
        <v>20407</v>
      </c>
      <c r="M27" s="104">
        <v>20385</v>
      </c>
    </row>
    <row r="28" spans="1:244">
      <c r="A28" s="81" t="s">
        <v>71</v>
      </c>
      <c r="B28" s="82">
        <v>11384</v>
      </c>
      <c r="C28" s="73">
        <v>11418</v>
      </c>
      <c r="D28" s="54">
        <v>11502</v>
      </c>
      <c r="E28" s="54">
        <v>11585</v>
      </c>
      <c r="F28" s="54">
        <v>11599</v>
      </c>
      <c r="G28" s="54">
        <v>11579</v>
      </c>
      <c r="H28" s="54">
        <v>11592</v>
      </c>
      <c r="I28" s="54">
        <v>11675</v>
      </c>
      <c r="J28" s="54">
        <v>11762</v>
      </c>
      <c r="K28" s="83">
        <v>11800</v>
      </c>
      <c r="L28" s="83">
        <v>11758</v>
      </c>
      <c r="M28" s="104">
        <v>11799</v>
      </c>
    </row>
    <row r="29" spans="1:244">
      <c r="A29" s="81" t="s">
        <v>72</v>
      </c>
      <c r="B29" s="82">
        <v>20215</v>
      </c>
      <c r="C29" s="73">
        <v>20247</v>
      </c>
      <c r="D29" s="54">
        <v>20393</v>
      </c>
      <c r="E29" s="54">
        <v>20481</v>
      </c>
      <c r="F29" s="54">
        <v>20533</v>
      </c>
      <c r="G29" s="54">
        <v>20484</v>
      </c>
      <c r="H29" s="54">
        <v>20481</v>
      </c>
      <c r="I29" s="54">
        <v>20512</v>
      </c>
      <c r="J29" s="54">
        <v>20576</v>
      </c>
      <c r="K29" s="83">
        <v>20653</v>
      </c>
      <c r="L29" s="83">
        <v>20667</v>
      </c>
      <c r="M29" s="104">
        <v>20702</v>
      </c>
    </row>
    <row r="30" spans="1:244">
      <c r="A30" s="24"/>
      <c r="B30" s="43"/>
      <c r="C30" s="54"/>
      <c r="D30" s="54"/>
      <c r="E30" s="54"/>
      <c r="F30" s="31"/>
      <c r="G30" s="85"/>
      <c r="H30" s="54"/>
      <c r="I30" s="54"/>
      <c r="J30" s="54"/>
      <c r="K30" s="86"/>
      <c r="L30" s="86"/>
      <c r="M30" s="86"/>
    </row>
    <row r="31" spans="1:244" s="4" customFormat="1">
      <c r="A31" s="61" t="s">
        <v>11</v>
      </c>
      <c r="B31" s="78">
        <f>B32+B33+B34</f>
        <v>85050</v>
      </c>
      <c r="C31" s="47">
        <f>C32+C33+C34</f>
        <v>85167</v>
      </c>
      <c r="D31" s="47">
        <v>85280</v>
      </c>
      <c r="E31" s="87">
        <f t="shared" ref="E31:K31" si="4">E32+E33+E34</f>
        <v>85310</v>
      </c>
      <c r="F31" s="87">
        <f t="shared" si="4"/>
        <v>84995</v>
      </c>
      <c r="G31" s="79">
        <f t="shared" si="4"/>
        <v>84622</v>
      </c>
      <c r="H31" s="47">
        <f t="shared" si="4"/>
        <v>83987</v>
      </c>
      <c r="I31" s="47">
        <f t="shared" si="4"/>
        <v>83209</v>
      </c>
      <c r="J31" s="47">
        <f t="shared" si="4"/>
        <v>82663</v>
      </c>
      <c r="K31" s="80">
        <f t="shared" si="4"/>
        <v>82453</v>
      </c>
      <c r="L31" s="80">
        <f>L32+L33+L34</f>
        <v>82474</v>
      </c>
      <c r="M31" s="80">
        <f>M32+M33+M34</f>
        <v>82522</v>
      </c>
    </row>
    <row r="32" spans="1:244">
      <c r="A32" s="81" t="s">
        <v>73</v>
      </c>
      <c r="B32" s="82">
        <v>29319</v>
      </c>
      <c r="C32" s="73">
        <v>29355</v>
      </c>
      <c r="D32" s="54">
        <v>29353</v>
      </c>
      <c r="E32" s="54">
        <v>29287</v>
      </c>
      <c r="F32" s="54">
        <v>29104</v>
      </c>
      <c r="G32" s="54">
        <v>28885</v>
      </c>
      <c r="H32" s="54">
        <v>28563</v>
      </c>
      <c r="I32" s="54">
        <v>28173</v>
      </c>
      <c r="J32" s="54">
        <v>27932</v>
      </c>
      <c r="K32" s="83">
        <v>27833</v>
      </c>
      <c r="L32" s="83">
        <v>27680</v>
      </c>
      <c r="M32" s="83">
        <v>27713</v>
      </c>
    </row>
    <row r="33" spans="1:13">
      <c r="A33" s="81" t="s">
        <v>74</v>
      </c>
      <c r="B33" s="82">
        <v>9191</v>
      </c>
      <c r="C33" s="73">
        <v>9208</v>
      </c>
      <c r="D33" s="54">
        <v>9217</v>
      </c>
      <c r="E33" s="54">
        <v>9204</v>
      </c>
      <c r="F33" s="54">
        <v>9107</v>
      </c>
      <c r="G33" s="54">
        <v>8988</v>
      </c>
      <c r="H33" s="54">
        <v>8816</v>
      </c>
      <c r="I33" s="54">
        <v>8630</v>
      </c>
      <c r="J33" s="54">
        <v>8487</v>
      </c>
      <c r="K33" s="83">
        <v>8411</v>
      </c>
      <c r="L33" s="83">
        <v>8406</v>
      </c>
      <c r="M33" s="83">
        <v>8453</v>
      </c>
    </row>
    <row r="34" spans="1:13">
      <c r="A34" s="81" t="s">
        <v>75</v>
      </c>
      <c r="B34" s="82">
        <v>46540</v>
      </c>
      <c r="C34" s="73">
        <v>46604</v>
      </c>
      <c r="D34" s="54">
        <v>46710</v>
      </c>
      <c r="E34" s="31">
        <v>46819</v>
      </c>
      <c r="F34" s="54">
        <v>46784</v>
      </c>
      <c r="G34" s="54">
        <v>46749</v>
      </c>
      <c r="H34" s="54">
        <v>46608</v>
      </c>
      <c r="I34" s="54">
        <v>46406</v>
      </c>
      <c r="J34" s="54">
        <v>46244</v>
      </c>
      <c r="K34" s="83">
        <v>46209</v>
      </c>
      <c r="L34" s="83">
        <v>46388</v>
      </c>
      <c r="M34" s="83">
        <v>46356</v>
      </c>
    </row>
    <row r="35" spans="1:13">
      <c r="A35" s="84"/>
      <c r="B35" s="43"/>
      <c r="C35" s="54"/>
      <c r="D35" s="54"/>
      <c r="E35" s="31"/>
      <c r="F35" s="31"/>
      <c r="G35" s="85"/>
      <c r="H35" s="54"/>
      <c r="I35" s="54"/>
      <c r="J35" s="54"/>
      <c r="K35" s="86"/>
      <c r="L35" s="86"/>
      <c r="M35" s="86"/>
    </row>
    <row r="36" spans="1:13" s="4" customFormat="1">
      <c r="A36" s="61" t="s">
        <v>15</v>
      </c>
      <c r="B36" s="89">
        <f>B37+B38+B39+B40+B41</f>
        <v>71423</v>
      </c>
      <c r="C36" s="47">
        <f>C37+C38+C39+C40+C41</f>
        <v>71456</v>
      </c>
      <c r="D36" s="47">
        <v>71342</v>
      </c>
      <c r="E36" s="47">
        <f t="shared" ref="E36:K36" si="5">E37+E38+E39+E40+E41</f>
        <v>70800</v>
      </c>
      <c r="F36" s="47">
        <f t="shared" si="5"/>
        <v>70194</v>
      </c>
      <c r="G36" s="79">
        <f t="shared" si="5"/>
        <v>69180</v>
      </c>
      <c r="H36" s="47">
        <f t="shared" si="5"/>
        <v>68373</v>
      </c>
      <c r="I36" s="47">
        <f t="shared" si="5"/>
        <v>67692</v>
      </c>
      <c r="J36" s="47">
        <f t="shared" si="5"/>
        <v>66978</v>
      </c>
      <c r="K36" s="80">
        <f t="shared" si="5"/>
        <v>66548</v>
      </c>
      <c r="L36" s="80">
        <f>L37+L38+L39+L40+L41</f>
        <v>66213</v>
      </c>
      <c r="M36" s="80">
        <f>M37+M38+M39+M40+M41</f>
        <v>65916</v>
      </c>
    </row>
    <row r="37" spans="1:13">
      <c r="A37" s="81" t="s">
        <v>76</v>
      </c>
      <c r="B37" s="82">
        <v>20765</v>
      </c>
      <c r="C37" s="73">
        <v>20759</v>
      </c>
      <c r="D37" s="54">
        <v>20626</v>
      </c>
      <c r="E37" s="54">
        <v>20346</v>
      </c>
      <c r="F37" s="54">
        <v>20001</v>
      </c>
      <c r="G37" s="54">
        <v>19490</v>
      </c>
      <c r="H37" s="54">
        <v>19069</v>
      </c>
      <c r="I37" s="54">
        <v>18721</v>
      </c>
      <c r="J37" s="54">
        <v>18358</v>
      </c>
      <c r="K37" s="83">
        <v>18082</v>
      </c>
      <c r="L37" s="83">
        <v>17968</v>
      </c>
      <c r="M37" s="83">
        <v>17830</v>
      </c>
    </row>
    <row r="38" spans="1:13">
      <c r="A38" s="81" t="s">
        <v>77</v>
      </c>
      <c r="B38" s="82">
        <v>5850</v>
      </c>
      <c r="C38" s="73">
        <v>5849</v>
      </c>
      <c r="D38" s="54">
        <v>5844</v>
      </c>
      <c r="E38" s="54">
        <v>5810</v>
      </c>
      <c r="F38" s="54">
        <v>5784</v>
      </c>
      <c r="G38" s="54">
        <v>5715</v>
      </c>
      <c r="H38" s="54">
        <v>5691</v>
      </c>
      <c r="I38" s="54">
        <v>5652</v>
      </c>
      <c r="J38" s="54">
        <v>5602</v>
      </c>
      <c r="K38" s="83">
        <v>5570</v>
      </c>
      <c r="L38" s="83">
        <v>5495</v>
      </c>
      <c r="M38" s="83">
        <v>5495</v>
      </c>
    </row>
    <row r="39" spans="1:13">
      <c r="A39" s="81" t="s">
        <v>78</v>
      </c>
      <c r="B39" s="82">
        <v>12894</v>
      </c>
      <c r="C39" s="73">
        <v>12916</v>
      </c>
      <c r="D39" s="54">
        <v>12879</v>
      </c>
      <c r="E39" s="54">
        <v>12698</v>
      </c>
      <c r="F39" s="54">
        <v>12509</v>
      </c>
      <c r="G39" s="54">
        <v>12209</v>
      </c>
      <c r="H39" s="54">
        <v>11960</v>
      </c>
      <c r="I39" s="54">
        <v>11739</v>
      </c>
      <c r="J39" s="54">
        <v>11553</v>
      </c>
      <c r="K39" s="83">
        <v>11443</v>
      </c>
      <c r="L39" s="83">
        <v>11428</v>
      </c>
      <c r="M39" s="83">
        <v>11399</v>
      </c>
    </row>
    <row r="40" spans="1:13">
      <c r="A40" s="81" t="s">
        <v>79</v>
      </c>
      <c r="B40" s="82">
        <v>19229</v>
      </c>
      <c r="C40" s="73">
        <v>19251</v>
      </c>
      <c r="D40" s="54">
        <v>19292</v>
      </c>
      <c r="E40" s="54">
        <v>19281</v>
      </c>
      <c r="F40" s="54">
        <v>19254</v>
      </c>
      <c r="G40" s="54">
        <v>19169</v>
      </c>
      <c r="H40" s="54">
        <v>19103</v>
      </c>
      <c r="I40" s="54">
        <v>19079</v>
      </c>
      <c r="J40" s="54">
        <v>19012</v>
      </c>
      <c r="K40" s="83">
        <v>19010</v>
      </c>
      <c r="L40" s="83">
        <v>18959</v>
      </c>
      <c r="M40" s="83">
        <v>18870</v>
      </c>
    </row>
    <row r="41" spans="1:13">
      <c r="A41" s="90" t="s">
        <v>80</v>
      </c>
      <c r="B41" s="82">
        <v>12685</v>
      </c>
      <c r="C41" s="73">
        <v>12681</v>
      </c>
      <c r="D41" s="54">
        <v>12701</v>
      </c>
      <c r="E41" s="54">
        <v>12665</v>
      </c>
      <c r="F41" s="54">
        <v>12646</v>
      </c>
      <c r="G41" s="54">
        <v>12597</v>
      </c>
      <c r="H41" s="54">
        <v>12550</v>
      </c>
      <c r="I41" s="54">
        <v>12501</v>
      </c>
      <c r="J41" s="54">
        <v>12453</v>
      </c>
      <c r="K41" s="83">
        <v>12443</v>
      </c>
      <c r="L41" s="83">
        <v>12363</v>
      </c>
      <c r="M41" s="83">
        <v>12322</v>
      </c>
    </row>
    <row r="42" spans="1:13">
      <c r="A42" s="31"/>
      <c r="B42" s="43"/>
      <c r="C42" s="54"/>
      <c r="D42" s="54"/>
      <c r="E42" s="31"/>
      <c r="F42" s="31"/>
      <c r="G42" s="85"/>
      <c r="H42" s="54"/>
      <c r="I42" s="54"/>
      <c r="J42" s="54"/>
      <c r="K42" s="86"/>
      <c r="L42" s="86"/>
      <c r="M42" s="86"/>
    </row>
    <row r="43" spans="1:13">
      <c r="A43" s="91" t="s">
        <v>21</v>
      </c>
      <c r="B43" s="92">
        <f>B44+B45+B46+B47+B48+B49+B50+B51</f>
        <v>137784</v>
      </c>
      <c r="C43" s="45">
        <f>C44+C45+C46+C47+C48+C49+C50+C51</f>
        <v>137818</v>
      </c>
      <c r="D43" s="47">
        <v>137211</v>
      </c>
      <c r="E43" s="47">
        <f t="shared" ref="E43:K43" si="6">E44+E45+E46+E47+E48+E49+E50+E51</f>
        <v>135434</v>
      </c>
      <c r="F43" s="47">
        <f t="shared" si="6"/>
        <v>134310</v>
      </c>
      <c r="G43" s="79">
        <f t="shared" si="6"/>
        <v>132807</v>
      </c>
      <c r="H43" s="47">
        <f t="shared" si="6"/>
        <v>130766</v>
      </c>
      <c r="I43" s="47">
        <f t="shared" si="6"/>
        <v>128844</v>
      </c>
      <c r="J43" s="47">
        <f t="shared" si="6"/>
        <v>127585</v>
      </c>
      <c r="K43" s="80">
        <f t="shared" si="6"/>
        <v>126073</v>
      </c>
      <c r="L43" s="80">
        <f>L44+L45+L46+L47+L48+L49+L50+L51</f>
        <v>125387</v>
      </c>
      <c r="M43" s="80">
        <f>M44+M45+M46+M47+M48+M49+M50+M51</f>
        <v>124470</v>
      </c>
    </row>
    <row r="44" spans="1:13" ht="17.25" customHeight="1">
      <c r="A44" s="90" t="s">
        <v>81</v>
      </c>
      <c r="B44" s="82">
        <v>86199</v>
      </c>
      <c r="C44" s="93">
        <v>86202</v>
      </c>
      <c r="D44" s="54">
        <v>85673</v>
      </c>
      <c r="E44" s="54">
        <v>84298</v>
      </c>
      <c r="F44" s="54">
        <v>83385</v>
      </c>
      <c r="G44" s="54">
        <v>82221</v>
      </c>
      <c r="H44" s="54">
        <v>80703</v>
      </c>
      <c r="I44" s="54">
        <v>79310</v>
      </c>
      <c r="J44" s="54">
        <v>78386</v>
      </c>
      <c r="K44" s="83">
        <v>77234</v>
      </c>
      <c r="L44" s="83">
        <v>76860</v>
      </c>
      <c r="M44" s="83">
        <v>76220</v>
      </c>
    </row>
    <row r="45" spans="1:13">
      <c r="A45" s="90" t="s">
        <v>82</v>
      </c>
      <c r="B45" s="82">
        <v>13343</v>
      </c>
      <c r="C45" s="73">
        <v>13329</v>
      </c>
      <c r="D45" s="54">
        <v>13278</v>
      </c>
      <c r="E45" s="54">
        <v>13184</v>
      </c>
      <c r="F45" s="54">
        <v>13099</v>
      </c>
      <c r="G45" s="54">
        <v>13010</v>
      </c>
      <c r="H45" s="54">
        <v>12900</v>
      </c>
      <c r="I45" s="54">
        <v>12740</v>
      </c>
      <c r="J45" s="54">
        <v>12641</v>
      </c>
      <c r="K45" s="83">
        <v>12543</v>
      </c>
      <c r="L45" s="83">
        <v>12361</v>
      </c>
      <c r="M45" s="83">
        <v>12238</v>
      </c>
    </row>
    <row r="46" spans="1:13">
      <c r="A46" s="90" t="s">
        <v>83</v>
      </c>
      <c r="B46" s="82">
        <v>2092</v>
      </c>
      <c r="C46" s="73">
        <v>2097</v>
      </c>
      <c r="D46" s="54">
        <v>2089</v>
      </c>
      <c r="E46" s="54">
        <v>2075</v>
      </c>
      <c r="F46" s="54">
        <v>2058</v>
      </c>
      <c r="G46" s="54">
        <v>2050</v>
      </c>
      <c r="H46" s="54">
        <v>2027</v>
      </c>
      <c r="I46" s="54">
        <v>1999</v>
      </c>
      <c r="J46" s="54">
        <v>1992</v>
      </c>
      <c r="K46" s="83">
        <v>1970</v>
      </c>
      <c r="L46" s="83">
        <v>1951</v>
      </c>
      <c r="M46" s="83">
        <v>1931</v>
      </c>
    </row>
    <row r="47" spans="1:13">
      <c r="A47" s="90" t="s">
        <v>84</v>
      </c>
      <c r="B47" s="82">
        <v>1710</v>
      </c>
      <c r="C47" s="73">
        <v>1714</v>
      </c>
      <c r="D47" s="54">
        <v>1693</v>
      </c>
      <c r="E47" s="54">
        <v>1656</v>
      </c>
      <c r="F47" s="54">
        <v>1630</v>
      </c>
      <c r="G47" s="54">
        <v>1603</v>
      </c>
      <c r="H47" s="54">
        <v>1551</v>
      </c>
      <c r="I47" s="54">
        <v>1529</v>
      </c>
      <c r="J47" s="54">
        <v>1507</v>
      </c>
      <c r="K47" s="83">
        <v>1484</v>
      </c>
      <c r="L47" s="83">
        <v>1448</v>
      </c>
      <c r="M47" s="83">
        <v>1442</v>
      </c>
    </row>
    <row r="48" spans="1:13">
      <c r="A48" s="90" t="s">
        <v>85</v>
      </c>
      <c r="B48" s="82">
        <v>700</v>
      </c>
      <c r="C48" s="73">
        <v>701</v>
      </c>
      <c r="D48" s="54">
        <v>689</v>
      </c>
      <c r="E48" s="54">
        <v>674</v>
      </c>
      <c r="F48" s="54">
        <v>662</v>
      </c>
      <c r="G48" s="54">
        <v>655</v>
      </c>
      <c r="H48" s="54">
        <v>640</v>
      </c>
      <c r="I48" s="54">
        <v>626</v>
      </c>
      <c r="J48" s="54">
        <v>609</v>
      </c>
      <c r="K48" s="83">
        <v>606</v>
      </c>
      <c r="L48" s="83">
        <v>602</v>
      </c>
      <c r="M48" s="83">
        <v>594</v>
      </c>
    </row>
    <row r="49" spans="1:13">
      <c r="A49" s="90" t="s">
        <v>86</v>
      </c>
      <c r="B49" s="82">
        <v>12881</v>
      </c>
      <c r="C49" s="73">
        <v>12901</v>
      </c>
      <c r="D49" s="54">
        <v>12968</v>
      </c>
      <c r="E49" s="54">
        <v>12913</v>
      </c>
      <c r="F49" s="54">
        <v>12963</v>
      </c>
      <c r="G49" s="54">
        <v>12954</v>
      </c>
      <c r="H49" s="54">
        <v>12873</v>
      </c>
      <c r="I49" s="54">
        <v>12781</v>
      </c>
      <c r="J49" s="54">
        <v>12733</v>
      </c>
      <c r="K49" s="83">
        <v>12690</v>
      </c>
      <c r="L49" s="83">
        <v>12677</v>
      </c>
      <c r="M49" s="83">
        <v>12662</v>
      </c>
    </row>
    <row r="50" spans="1:13">
      <c r="A50" s="90" t="s">
        <v>87</v>
      </c>
      <c r="B50" s="82">
        <v>13086</v>
      </c>
      <c r="C50" s="73">
        <v>13089</v>
      </c>
      <c r="D50" s="54">
        <v>13075</v>
      </c>
      <c r="E50" s="54">
        <v>12981</v>
      </c>
      <c r="F50" s="54">
        <v>12896</v>
      </c>
      <c r="G50" s="54">
        <v>12783</v>
      </c>
      <c r="H50" s="54">
        <v>12649</v>
      </c>
      <c r="I50" s="54">
        <v>12529</v>
      </c>
      <c r="J50" s="54">
        <v>12446</v>
      </c>
      <c r="K50" s="83">
        <v>12343</v>
      </c>
      <c r="L50" s="83">
        <v>12232</v>
      </c>
      <c r="M50" s="83">
        <v>12151</v>
      </c>
    </row>
    <row r="51" spans="1:13">
      <c r="A51" s="90" t="s">
        <v>88</v>
      </c>
      <c r="B51" s="82">
        <v>7773</v>
      </c>
      <c r="C51" s="73">
        <v>7785</v>
      </c>
      <c r="D51" s="54">
        <v>7746</v>
      </c>
      <c r="E51" s="54">
        <v>7653</v>
      </c>
      <c r="F51" s="54">
        <v>7617</v>
      </c>
      <c r="G51" s="54">
        <v>7531</v>
      </c>
      <c r="H51" s="54">
        <v>7423</v>
      </c>
      <c r="I51" s="54">
        <v>7330</v>
      </c>
      <c r="J51" s="54">
        <v>7271</v>
      </c>
      <c r="K51" s="83">
        <v>7203</v>
      </c>
      <c r="L51" s="83">
        <v>7256</v>
      </c>
      <c r="M51" s="83">
        <v>7232</v>
      </c>
    </row>
    <row r="52" spans="1:13">
      <c r="A52" s="84"/>
      <c r="B52" s="43"/>
      <c r="C52" s="54"/>
      <c r="D52" s="54"/>
      <c r="E52" s="31"/>
      <c r="F52" s="31"/>
      <c r="G52" s="85"/>
      <c r="H52" s="54"/>
      <c r="I52" s="54"/>
      <c r="J52" s="54"/>
      <c r="K52" s="86"/>
      <c r="L52" s="86"/>
      <c r="M52" s="86"/>
    </row>
    <row r="53" spans="1:13" s="4" customFormat="1">
      <c r="A53" s="91" t="s">
        <v>27</v>
      </c>
      <c r="B53" s="78">
        <f>B54+B55+B56+B57+B58+B59+B60</f>
        <v>137481</v>
      </c>
      <c r="C53" s="45">
        <f>C54+C55+C56+C57+C58+C59+C60</f>
        <v>137635</v>
      </c>
      <c r="D53" s="45">
        <v>138224</v>
      </c>
      <c r="E53" s="45">
        <f t="shared" ref="E53:K53" si="7">E54+E55+E56+E57+E58+E59+E60</f>
        <v>138147</v>
      </c>
      <c r="F53" s="45">
        <f t="shared" si="7"/>
        <v>138465</v>
      </c>
      <c r="G53" s="63">
        <f t="shared" si="7"/>
        <v>137871</v>
      </c>
      <c r="H53" s="45">
        <f t="shared" si="7"/>
        <v>137504</v>
      </c>
      <c r="I53" s="45">
        <f t="shared" si="7"/>
        <v>137117</v>
      </c>
      <c r="J53" s="45">
        <f t="shared" si="7"/>
        <v>137411</v>
      </c>
      <c r="K53" s="64">
        <f t="shared" si="7"/>
        <v>136836</v>
      </c>
      <c r="L53" s="64">
        <f>L54+L55+L56+L57+L58+L59+L60</f>
        <v>136752</v>
      </c>
      <c r="M53" s="64">
        <f>M54+M55+M56+M57+M58+M59+M60</f>
        <v>136960</v>
      </c>
    </row>
    <row r="54" spans="1:13">
      <c r="A54" s="90" t="s">
        <v>89</v>
      </c>
      <c r="B54" s="82">
        <v>41875</v>
      </c>
      <c r="C54" s="73">
        <v>41935</v>
      </c>
      <c r="D54" s="54">
        <v>42010</v>
      </c>
      <c r="E54" s="54">
        <v>41764</v>
      </c>
      <c r="F54" s="54">
        <v>41664</v>
      </c>
      <c r="G54" s="54">
        <v>41170</v>
      </c>
      <c r="H54" s="54">
        <v>40825</v>
      </c>
      <c r="I54" s="54">
        <v>40465</v>
      </c>
      <c r="J54" s="54">
        <v>40461</v>
      </c>
      <c r="K54" s="83">
        <v>40011</v>
      </c>
      <c r="L54" s="83">
        <v>39868</v>
      </c>
      <c r="M54" s="83">
        <v>39957</v>
      </c>
    </row>
    <row r="55" spans="1:13">
      <c r="A55" s="90" t="s">
        <v>90</v>
      </c>
      <c r="B55" s="82">
        <v>20363</v>
      </c>
      <c r="C55" s="73">
        <v>20381</v>
      </c>
      <c r="D55" s="54">
        <v>20436</v>
      </c>
      <c r="E55" s="54">
        <v>20470</v>
      </c>
      <c r="F55" s="54">
        <v>20545</v>
      </c>
      <c r="G55" s="54">
        <v>20490</v>
      </c>
      <c r="H55" s="54">
        <v>20457</v>
      </c>
      <c r="I55" s="54">
        <v>20469</v>
      </c>
      <c r="J55" s="54">
        <v>20501</v>
      </c>
      <c r="K55" s="83">
        <v>20437</v>
      </c>
      <c r="L55" s="83">
        <v>20349</v>
      </c>
      <c r="M55" s="83">
        <v>20368</v>
      </c>
    </row>
    <row r="56" spans="1:13">
      <c r="A56" s="90" t="s">
        <v>91</v>
      </c>
      <c r="B56" s="82">
        <v>1256</v>
      </c>
      <c r="C56" s="73">
        <v>1258</v>
      </c>
      <c r="D56" s="54">
        <v>1261</v>
      </c>
      <c r="E56" s="54">
        <v>1250</v>
      </c>
      <c r="F56" s="54">
        <v>1240</v>
      </c>
      <c r="G56" s="54">
        <v>1214</v>
      </c>
      <c r="H56" s="54">
        <v>1199</v>
      </c>
      <c r="I56" s="54">
        <v>1185</v>
      </c>
      <c r="J56" s="54">
        <v>1185</v>
      </c>
      <c r="K56" s="83">
        <v>1174</v>
      </c>
      <c r="L56" s="83">
        <v>1172</v>
      </c>
      <c r="M56" s="83">
        <v>1165</v>
      </c>
    </row>
    <row r="57" spans="1:13">
      <c r="A57" s="90" t="s">
        <v>92</v>
      </c>
      <c r="B57" s="82">
        <v>43495</v>
      </c>
      <c r="C57" s="73">
        <v>43554</v>
      </c>
      <c r="D57" s="54">
        <v>43856</v>
      </c>
      <c r="E57" s="54">
        <v>44021</v>
      </c>
      <c r="F57" s="54">
        <v>44314</v>
      </c>
      <c r="G57" s="54">
        <v>44417</v>
      </c>
      <c r="H57" s="54">
        <v>44533</v>
      </c>
      <c r="I57" s="54">
        <v>44613</v>
      </c>
      <c r="J57" s="54">
        <v>44844</v>
      </c>
      <c r="K57" s="83">
        <v>44931</v>
      </c>
      <c r="L57" s="83">
        <v>44986</v>
      </c>
      <c r="M57" s="83">
        <v>45025</v>
      </c>
    </row>
    <row r="58" spans="1:13">
      <c r="A58" s="90" t="s">
        <v>93</v>
      </c>
      <c r="B58" s="82">
        <v>9513</v>
      </c>
      <c r="C58" s="73">
        <v>9516</v>
      </c>
      <c r="D58" s="54">
        <v>9542</v>
      </c>
      <c r="E58" s="54">
        <v>9483</v>
      </c>
      <c r="F58" s="54">
        <v>9472</v>
      </c>
      <c r="G58" s="54">
        <v>9348</v>
      </c>
      <c r="H58" s="54">
        <v>9267</v>
      </c>
      <c r="I58" s="54">
        <v>9187</v>
      </c>
      <c r="J58" s="54">
        <v>9179</v>
      </c>
      <c r="K58" s="83">
        <v>9069</v>
      </c>
      <c r="L58" s="83">
        <v>9088</v>
      </c>
      <c r="M58" s="83">
        <v>9142</v>
      </c>
    </row>
    <row r="59" spans="1:13">
      <c r="A59" s="90" t="s">
        <v>94</v>
      </c>
      <c r="B59" s="82">
        <v>11672</v>
      </c>
      <c r="C59" s="73">
        <v>11684</v>
      </c>
      <c r="D59" s="54">
        <v>11768</v>
      </c>
      <c r="E59" s="54">
        <v>11792</v>
      </c>
      <c r="F59" s="54">
        <v>11847</v>
      </c>
      <c r="G59" s="54">
        <v>11880</v>
      </c>
      <c r="H59" s="54">
        <v>11896</v>
      </c>
      <c r="I59" s="54">
        <v>11900</v>
      </c>
      <c r="J59" s="54">
        <v>11933</v>
      </c>
      <c r="K59" s="83">
        <v>11952</v>
      </c>
      <c r="L59" s="83">
        <v>12090</v>
      </c>
      <c r="M59" s="83">
        <v>12106</v>
      </c>
    </row>
    <row r="60" spans="1:13">
      <c r="A60" s="90" t="s">
        <v>95</v>
      </c>
      <c r="B60" s="82">
        <v>9307</v>
      </c>
      <c r="C60" s="73">
        <v>9307</v>
      </c>
      <c r="D60" s="54">
        <v>9351</v>
      </c>
      <c r="E60" s="54">
        <v>9367</v>
      </c>
      <c r="F60" s="54">
        <v>9383</v>
      </c>
      <c r="G60" s="54">
        <v>9352</v>
      </c>
      <c r="H60" s="54">
        <v>9327</v>
      </c>
      <c r="I60" s="54">
        <v>9298</v>
      </c>
      <c r="J60" s="54">
        <v>9308</v>
      </c>
      <c r="K60" s="83">
        <v>9262</v>
      </c>
      <c r="L60" s="83">
        <v>9199</v>
      </c>
      <c r="M60" s="83">
        <v>9197</v>
      </c>
    </row>
    <row r="61" spans="1:13">
      <c r="A61" s="84"/>
      <c r="B61" s="43"/>
      <c r="C61" s="54"/>
      <c r="D61" s="54"/>
      <c r="E61" s="31"/>
      <c r="F61" s="31"/>
      <c r="G61" s="85"/>
      <c r="H61" s="54"/>
      <c r="I61" s="54"/>
      <c r="J61" s="54"/>
      <c r="K61" s="86"/>
      <c r="L61" s="86"/>
      <c r="M61" s="86"/>
    </row>
    <row r="62" spans="1:13" s="4" customFormat="1">
      <c r="A62" s="91" t="s">
        <v>31</v>
      </c>
      <c r="B62" s="78">
        <f t="shared" ref="B62:G62" si="8">B63+B64+B65</f>
        <v>146908</v>
      </c>
      <c r="C62" s="78">
        <f t="shared" si="8"/>
        <v>146896</v>
      </c>
      <c r="D62" s="78">
        <f t="shared" si="8"/>
        <v>146266</v>
      </c>
      <c r="E62" s="78">
        <f t="shared" si="8"/>
        <v>144515</v>
      </c>
      <c r="F62" s="78">
        <f t="shared" si="8"/>
        <v>143525</v>
      </c>
      <c r="G62" s="92">
        <f t="shared" si="8"/>
        <v>141963</v>
      </c>
      <c r="H62" s="78">
        <f t="shared" ref="H62:L62" si="9">H63+H64+H65</f>
        <v>139907</v>
      </c>
      <c r="I62" s="78">
        <f t="shared" si="9"/>
        <v>137963</v>
      </c>
      <c r="J62" s="78">
        <f t="shared" si="9"/>
        <v>136896</v>
      </c>
      <c r="K62" s="94">
        <f t="shared" si="9"/>
        <v>135570</v>
      </c>
      <c r="L62" s="94">
        <f t="shared" si="9"/>
        <v>135181</v>
      </c>
      <c r="M62" s="94">
        <f t="shared" ref="M62" si="10">M63+M64+M65</f>
        <v>134074</v>
      </c>
    </row>
    <row r="63" spans="1:13">
      <c r="A63" s="90" t="s">
        <v>96</v>
      </c>
      <c r="B63" s="82">
        <v>121976</v>
      </c>
      <c r="C63" s="73">
        <v>121945</v>
      </c>
      <c r="D63" s="54">
        <v>121342</v>
      </c>
      <c r="E63" s="54">
        <v>119885</v>
      </c>
      <c r="F63" s="31">
        <v>119034</v>
      </c>
      <c r="G63" s="85">
        <v>117714</v>
      </c>
      <c r="H63" s="54">
        <v>116031</v>
      </c>
      <c r="I63" s="54">
        <v>114430</v>
      </c>
      <c r="J63" s="54">
        <v>113525</v>
      </c>
      <c r="K63" s="95">
        <v>112412</v>
      </c>
      <c r="L63" s="95">
        <v>112108</v>
      </c>
      <c r="M63" s="95">
        <v>111138</v>
      </c>
    </row>
    <row r="64" spans="1:13">
      <c r="A64" s="90" t="s">
        <v>97</v>
      </c>
      <c r="B64" s="82">
        <v>5398</v>
      </c>
      <c r="C64" s="73">
        <v>5412</v>
      </c>
      <c r="D64" s="54">
        <v>5466</v>
      </c>
      <c r="E64" s="54">
        <v>5471</v>
      </c>
      <c r="F64" s="31">
        <v>5493</v>
      </c>
      <c r="G64" s="85">
        <v>5492</v>
      </c>
      <c r="H64" s="54">
        <v>5462</v>
      </c>
      <c r="I64" s="54">
        <v>5423</v>
      </c>
      <c r="J64" s="54">
        <v>5415</v>
      </c>
      <c r="K64" s="83">
        <v>5408</v>
      </c>
      <c r="L64" s="83">
        <v>5371</v>
      </c>
      <c r="M64" s="83">
        <v>5335</v>
      </c>
    </row>
    <row r="65" spans="1:13">
      <c r="A65" s="90" t="s">
        <v>98</v>
      </c>
      <c r="B65" s="82">
        <v>19534</v>
      </c>
      <c r="C65" s="73">
        <v>19539</v>
      </c>
      <c r="D65" s="54">
        <v>19458</v>
      </c>
      <c r="E65" s="54">
        <v>19159</v>
      </c>
      <c r="F65" s="31">
        <v>18998</v>
      </c>
      <c r="G65" s="85">
        <v>18757</v>
      </c>
      <c r="H65" s="54">
        <v>18414</v>
      </c>
      <c r="I65" s="54">
        <v>18110</v>
      </c>
      <c r="J65" s="54">
        <v>17956</v>
      </c>
      <c r="K65" s="83">
        <v>17750</v>
      </c>
      <c r="L65" s="83">
        <v>17702</v>
      </c>
      <c r="M65" s="83">
        <v>17601</v>
      </c>
    </row>
    <row r="66" spans="1:13">
      <c r="A66" s="59"/>
      <c r="B66" s="43"/>
      <c r="C66" s="54"/>
      <c r="D66" s="54"/>
      <c r="E66" s="31"/>
      <c r="F66" s="31"/>
      <c r="G66" s="85"/>
      <c r="H66" s="54"/>
      <c r="I66" s="54"/>
      <c r="J66" s="54"/>
      <c r="K66" s="86"/>
      <c r="L66" s="86"/>
      <c r="M66" s="86"/>
    </row>
    <row r="67" spans="1:13" s="4" customFormat="1">
      <c r="A67" s="91" t="s">
        <v>37</v>
      </c>
      <c r="B67" s="78">
        <f t="shared" ref="B67:G67" si="11">B68+B69+B70+B71+B72+B73+B74</f>
        <v>95170</v>
      </c>
      <c r="C67" s="45">
        <f t="shared" si="11"/>
        <v>95196</v>
      </c>
      <c r="D67" s="45">
        <f t="shared" si="11"/>
        <v>95215</v>
      </c>
      <c r="E67" s="45">
        <f t="shared" si="11"/>
        <v>94732</v>
      </c>
      <c r="F67" s="45">
        <f t="shared" si="11"/>
        <v>94430</v>
      </c>
      <c r="G67" s="63">
        <f t="shared" si="11"/>
        <v>94026</v>
      </c>
      <c r="H67" s="45">
        <f t="shared" ref="H67:L67" si="12">H68+H69+H70+H71+H72+H73+H74</f>
        <v>93932</v>
      </c>
      <c r="I67" s="45">
        <f t="shared" si="12"/>
        <v>93771</v>
      </c>
      <c r="J67" s="45">
        <f t="shared" si="12"/>
        <v>93350</v>
      </c>
      <c r="K67" s="64">
        <f t="shared" si="12"/>
        <v>93180</v>
      </c>
      <c r="L67" s="64">
        <f t="shared" si="12"/>
        <v>91852</v>
      </c>
      <c r="M67" s="64">
        <f t="shared" ref="M67" si="13">M68+M69+M70+M71+M72+M73+M74</f>
        <v>90695</v>
      </c>
    </row>
    <row r="68" spans="1:13">
      <c r="A68" s="90" t="s">
        <v>99</v>
      </c>
      <c r="B68" s="82">
        <v>43190</v>
      </c>
      <c r="C68" s="73">
        <v>43189</v>
      </c>
      <c r="D68" s="54">
        <v>43184</v>
      </c>
      <c r="E68" s="54">
        <v>42967</v>
      </c>
      <c r="F68" s="54">
        <v>42836</v>
      </c>
      <c r="G68" s="54">
        <v>42640</v>
      </c>
      <c r="H68" s="54">
        <v>42571</v>
      </c>
      <c r="I68" s="54">
        <v>42464</v>
      </c>
      <c r="J68" s="54">
        <v>42290</v>
      </c>
      <c r="K68" s="83">
        <v>42184</v>
      </c>
      <c r="L68" s="83">
        <v>41941</v>
      </c>
      <c r="M68" s="83">
        <v>41512</v>
      </c>
    </row>
    <row r="69" spans="1:13">
      <c r="A69" s="90" t="s">
        <v>100</v>
      </c>
      <c r="B69" s="82">
        <v>7163</v>
      </c>
      <c r="C69" s="73">
        <v>7159</v>
      </c>
      <c r="D69" s="54">
        <v>7170</v>
      </c>
      <c r="E69" s="54">
        <v>7129</v>
      </c>
      <c r="F69" s="54">
        <v>7097</v>
      </c>
      <c r="G69" s="54">
        <v>7061</v>
      </c>
      <c r="H69" s="54">
        <v>7050</v>
      </c>
      <c r="I69" s="54">
        <v>7015</v>
      </c>
      <c r="J69" s="54">
        <v>6961</v>
      </c>
      <c r="K69" s="83">
        <v>6942</v>
      </c>
      <c r="L69" s="83">
        <v>6927</v>
      </c>
      <c r="M69" s="83">
        <v>6810</v>
      </c>
    </row>
    <row r="70" spans="1:13">
      <c r="A70" s="90" t="s">
        <v>101</v>
      </c>
      <c r="B70" s="82">
        <v>20591</v>
      </c>
      <c r="C70" s="73">
        <v>20601</v>
      </c>
      <c r="D70" s="54">
        <v>20577</v>
      </c>
      <c r="E70" s="54">
        <v>20471</v>
      </c>
      <c r="F70" s="54">
        <v>20407</v>
      </c>
      <c r="G70" s="54">
        <v>20342</v>
      </c>
      <c r="H70" s="54">
        <v>20398</v>
      </c>
      <c r="I70" s="54">
        <v>20416</v>
      </c>
      <c r="J70" s="54">
        <v>20341</v>
      </c>
      <c r="K70" s="83">
        <v>20405</v>
      </c>
      <c r="L70" s="83">
        <v>19956</v>
      </c>
      <c r="M70" s="83">
        <v>19664</v>
      </c>
    </row>
    <row r="71" spans="1:13">
      <c r="A71" s="90" t="s">
        <v>102</v>
      </c>
      <c r="B71" s="82">
        <v>4580</v>
      </c>
      <c r="C71" s="73">
        <v>4584</v>
      </c>
      <c r="D71" s="54">
        <v>4594</v>
      </c>
      <c r="E71" s="54">
        <v>4565</v>
      </c>
      <c r="F71" s="54">
        <v>4555</v>
      </c>
      <c r="G71" s="54">
        <v>4542</v>
      </c>
      <c r="H71" s="54">
        <v>4522</v>
      </c>
      <c r="I71" s="54">
        <v>4514</v>
      </c>
      <c r="J71" s="54">
        <v>4509</v>
      </c>
      <c r="K71" s="83">
        <v>4487</v>
      </c>
      <c r="L71" s="83">
        <v>4234</v>
      </c>
      <c r="M71" s="104">
        <v>4193</v>
      </c>
    </row>
    <row r="72" spans="1:13">
      <c r="A72" s="90" t="s">
        <v>103</v>
      </c>
      <c r="B72" s="82">
        <v>4429</v>
      </c>
      <c r="C72" s="73">
        <v>4436</v>
      </c>
      <c r="D72" s="54">
        <v>4443</v>
      </c>
      <c r="E72" s="54">
        <v>4386</v>
      </c>
      <c r="F72" s="54">
        <v>4341</v>
      </c>
      <c r="G72" s="54">
        <v>4284</v>
      </c>
      <c r="H72" s="54">
        <v>4258</v>
      </c>
      <c r="I72" s="54">
        <v>4239</v>
      </c>
      <c r="J72" s="54">
        <v>4171</v>
      </c>
      <c r="K72" s="83">
        <v>4122</v>
      </c>
      <c r="L72" s="83">
        <v>4072</v>
      </c>
      <c r="M72" s="104">
        <v>3952</v>
      </c>
    </row>
    <row r="73" spans="1:13">
      <c r="A73" s="90" t="s">
        <v>104</v>
      </c>
      <c r="B73" s="82">
        <v>14894</v>
      </c>
      <c r="C73" s="73">
        <v>14904</v>
      </c>
      <c r="D73" s="54">
        <v>14926</v>
      </c>
      <c r="E73" s="54">
        <v>14901</v>
      </c>
      <c r="F73" s="54">
        <v>14885</v>
      </c>
      <c r="G73" s="54">
        <v>14856</v>
      </c>
      <c r="H73" s="54">
        <v>14835</v>
      </c>
      <c r="I73" s="54">
        <v>14826</v>
      </c>
      <c r="J73" s="54">
        <v>14790</v>
      </c>
      <c r="K73" s="83">
        <v>14757</v>
      </c>
      <c r="L73" s="83">
        <v>14441</v>
      </c>
      <c r="M73" s="104">
        <v>14297</v>
      </c>
    </row>
    <row r="74" spans="1:13">
      <c r="A74" s="90" t="s">
        <v>105</v>
      </c>
      <c r="B74" s="82">
        <v>323</v>
      </c>
      <c r="C74" s="73">
        <v>323</v>
      </c>
      <c r="D74" s="54">
        <v>321</v>
      </c>
      <c r="E74" s="54">
        <v>313</v>
      </c>
      <c r="F74" s="54">
        <v>309</v>
      </c>
      <c r="G74" s="54">
        <v>301</v>
      </c>
      <c r="H74" s="54">
        <v>298</v>
      </c>
      <c r="I74" s="54">
        <v>297</v>
      </c>
      <c r="J74" s="54">
        <v>288</v>
      </c>
      <c r="K74" s="83">
        <v>283</v>
      </c>
      <c r="L74" s="83">
        <v>281</v>
      </c>
      <c r="M74" s="104">
        <v>267</v>
      </c>
    </row>
    <row r="75" spans="1:13">
      <c r="A75" s="31"/>
      <c r="B75" s="43"/>
      <c r="C75" s="54"/>
      <c r="D75" s="54"/>
      <c r="E75" s="31"/>
      <c r="F75" s="31"/>
      <c r="G75" s="85"/>
      <c r="H75" s="54"/>
      <c r="I75" s="54"/>
      <c r="J75" s="54"/>
      <c r="K75" s="86"/>
      <c r="L75" s="86"/>
      <c r="M75" s="86"/>
    </row>
    <row r="76" spans="1:13" s="4" customFormat="1">
      <c r="A76" s="91" t="s">
        <v>42</v>
      </c>
      <c r="B76" s="78">
        <f>B77+B78+B79</f>
        <v>18449</v>
      </c>
      <c r="C76" s="47">
        <f>C77+C78+C79</f>
        <v>18457</v>
      </c>
      <c r="D76" s="47">
        <v>18408</v>
      </c>
      <c r="E76" s="47">
        <f t="shared" ref="E76:K76" si="14">E77+E78+E79</f>
        <v>18189</v>
      </c>
      <c r="F76" s="47">
        <f t="shared" si="14"/>
        <v>18090</v>
      </c>
      <c r="G76" s="79">
        <f t="shared" si="14"/>
        <v>17777</v>
      </c>
      <c r="H76" s="47">
        <f t="shared" si="14"/>
        <v>17618</v>
      </c>
      <c r="I76" s="47">
        <f t="shared" si="14"/>
        <v>17454</v>
      </c>
      <c r="J76" s="47">
        <f t="shared" si="14"/>
        <v>17281</v>
      </c>
      <c r="K76" s="80">
        <f t="shared" si="14"/>
        <v>17086</v>
      </c>
      <c r="L76" s="80">
        <f>L77+L78+L79</f>
        <v>16850</v>
      </c>
      <c r="M76" s="80">
        <f>M77+M78+M79</f>
        <v>16291</v>
      </c>
    </row>
    <row r="77" spans="1:13">
      <c r="A77" s="90" t="s">
        <v>106</v>
      </c>
      <c r="B77" s="82">
        <v>7944</v>
      </c>
      <c r="C77" s="73">
        <v>7952</v>
      </c>
      <c r="D77" s="54">
        <v>7944</v>
      </c>
      <c r="E77" s="54">
        <v>7852</v>
      </c>
      <c r="F77" s="54">
        <v>7809</v>
      </c>
      <c r="G77" s="54">
        <v>7675</v>
      </c>
      <c r="H77" s="54">
        <v>7606</v>
      </c>
      <c r="I77" s="54">
        <v>7528</v>
      </c>
      <c r="J77" s="54">
        <v>7444</v>
      </c>
      <c r="K77" s="83">
        <v>7358</v>
      </c>
      <c r="L77" s="83">
        <v>7272</v>
      </c>
      <c r="M77" s="83">
        <v>7040</v>
      </c>
    </row>
    <row r="78" spans="1:13">
      <c r="A78" s="90" t="s">
        <v>107</v>
      </c>
      <c r="B78" s="82">
        <v>5877</v>
      </c>
      <c r="C78" s="73">
        <v>5880</v>
      </c>
      <c r="D78" s="54">
        <v>5870</v>
      </c>
      <c r="E78" s="54">
        <v>5818</v>
      </c>
      <c r="F78" s="54">
        <v>5797</v>
      </c>
      <c r="G78" s="54">
        <v>5702</v>
      </c>
      <c r="H78" s="54">
        <v>5688</v>
      </c>
      <c r="I78" s="54">
        <v>5661</v>
      </c>
      <c r="J78" s="54">
        <v>5640</v>
      </c>
      <c r="K78" s="83">
        <v>5592</v>
      </c>
      <c r="L78" s="83">
        <v>5508</v>
      </c>
      <c r="M78" s="83">
        <v>5349</v>
      </c>
    </row>
    <row r="79" spans="1:13">
      <c r="A79" s="90" t="s">
        <v>108</v>
      </c>
      <c r="B79" s="82">
        <v>4628</v>
      </c>
      <c r="C79" s="73">
        <v>4625</v>
      </c>
      <c r="D79" s="54">
        <v>4594</v>
      </c>
      <c r="E79" s="54">
        <v>4519</v>
      </c>
      <c r="F79" s="54">
        <v>4484</v>
      </c>
      <c r="G79" s="54">
        <v>4400</v>
      </c>
      <c r="H79" s="54">
        <v>4324</v>
      </c>
      <c r="I79" s="54">
        <v>4265</v>
      </c>
      <c r="J79" s="54">
        <v>4197</v>
      </c>
      <c r="K79" s="83">
        <v>4136</v>
      </c>
      <c r="L79" s="83">
        <v>4070</v>
      </c>
      <c r="M79" s="83">
        <v>3902</v>
      </c>
    </row>
    <row r="80" spans="1:13">
      <c r="A80" s="24"/>
      <c r="B80" s="43"/>
      <c r="C80" s="47"/>
      <c r="D80" s="54"/>
      <c r="E80" s="31"/>
      <c r="F80" s="31"/>
      <c r="G80" s="85"/>
      <c r="H80" s="54"/>
      <c r="I80" s="54"/>
      <c r="J80" s="54"/>
      <c r="K80" s="86"/>
      <c r="L80" s="86"/>
      <c r="M80" s="86"/>
    </row>
    <row r="81" spans="1:13" s="4" customFormat="1">
      <c r="A81" s="91" t="s">
        <v>45</v>
      </c>
      <c r="B81" s="78">
        <f>B82+B83+B84+B85+B86</f>
        <v>54186</v>
      </c>
      <c r="C81" s="47">
        <f>C82+C83+C84+C85+C86</f>
        <v>54190</v>
      </c>
      <c r="D81" s="47">
        <v>54140</v>
      </c>
      <c r="E81" s="47">
        <f t="shared" ref="E81:K81" si="15">E82+E83+E84+E85+E86</f>
        <v>53886</v>
      </c>
      <c r="F81" s="47">
        <f t="shared" si="15"/>
        <v>53536</v>
      </c>
      <c r="G81" s="79">
        <f t="shared" si="15"/>
        <v>52943</v>
      </c>
      <c r="H81" s="47">
        <f t="shared" si="15"/>
        <v>52545</v>
      </c>
      <c r="I81" s="47">
        <f t="shared" si="15"/>
        <v>52181</v>
      </c>
      <c r="J81" s="47">
        <f t="shared" si="15"/>
        <v>51731</v>
      </c>
      <c r="K81" s="80">
        <f t="shared" si="15"/>
        <v>51395</v>
      </c>
      <c r="L81" s="80">
        <f>L82+L83+L84+L85+L86</f>
        <v>50588</v>
      </c>
      <c r="M81" s="80">
        <f>M82+M83+M84+M85+M86</f>
        <v>49927</v>
      </c>
    </row>
    <row r="82" spans="1:13">
      <c r="A82" s="90" t="s">
        <v>109</v>
      </c>
      <c r="B82" s="82">
        <v>21081</v>
      </c>
      <c r="C82" s="73">
        <v>21102</v>
      </c>
      <c r="D82" s="54">
        <v>21135</v>
      </c>
      <c r="E82" s="54">
        <v>21021</v>
      </c>
      <c r="F82" s="54">
        <v>20913</v>
      </c>
      <c r="G82" s="54">
        <v>20723</v>
      </c>
      <c r="H82" s="54">
        <v>20610</v>
      </c>
      <c r="I82" s="54">
        <v>20515</v>
      </c>
      <c r="J82" s="54">
        <v>20373</v>
      </c>
      <c r="K82" s="83">
        <v>20293</v>
      </c>
      <c r="L82" s="83">
        <v>20021</v>
      </c>
      <c r="M82" s="83">
        <v>19773</v>
      </c>
    </row>
    <row r="83" spans="1:13">
      <c r="A83" s="90" t="s">
        <v>110</v>
      </c>
      <c r="B83" s="82">
        <v>17712</v>
      </c>
      <c r="C83" s="73">
        <v>17715</v>
      </c>
      <c r="D83" s="54">
        <v>17699</v>
      </c>
      <c r="E83" s="54">
        <v>17712</v>
      </c>
      <c r="F83" s="54">
        <v>17666</v>
      </c>
      <c r="G83" s="54">
        <v>17587</v>
      </c>
      <c r="H83" s="54">
        <v>17521</v>
      </c>
      <c r="I83" s="54">
        <v>17464</v>
      </c>
      <c r="J83" s="54">
        <v>17392</v>
      </c>
      <c r="K83" s="83">
        <v>17295</v>
      </c>
      <c r="L83" s="83">
        <v>17158</v>
      </c>
      <c r="M83" s="83">
        <v>17045</v>
      </c>
    </row>
    <row r="84" spans="1:13">
      <c r="A84" s="90" t="s">
        <v>111</v>
      </c>
      <c r="B84" s="82">
        <v>5310</v>
      </c>
      <c r="C84" s="73">
        <v>5299</v>
      </c>
      <c r="D84" s="54">
        <v>5269</v>
      </c>
      <c r="E84" s="54">
        <v>5205</v>
      </c>
      <c r="F84" s="54">
        <v>5104</v>
      </c>
      <c r="G84" s="54">
        <v>4930</v>
      </c>
      <c r="H84" s="54">
        <v>4800</v>
      </c>
      <c r="I84" s="54">
        <v>4683</v>
      </c>
      <c r="J84" s="54">
        <v>4584</v>
      </c>
      <c r="K84" s="83">
        <v>4514</v>
      </c>
      <c r="L84" s="83">
        <v>4517</v>
      </c>
      <c r="M84" s="83">
        <v>4373</v>
      </c>
    </row>
    <row r="85" spans="1:13">
      <c r="A85" s="90" t="s">
        <v>112</v>
      </c>
      <c r="B85" s="82">
        <v>2126</v>
      </c>
      <c r="C85" s="73">
        <v>2121</v>
      </c>
      <c r="D85" s="54">
        <v>2103</v>
      </c>
      <c r="E85" s="54">
        <v>2061</v>
      </c>
      <c r="F85" s="54">
        <v>2019</v>
      </c>
      <c r="G85" s="54">
        <v>1957</v>
      </c>
      <c r="H85" s="54">
        <v>1935</v>
      </c>
      <c r="I85" s="54">
        <v>1895</v>
      </c>
      <c r="J85" s="54">
        <v>1849</v>
      </c>
      <c r="K85" s="83">
        <v>1815</v>
      </c>
      <c r="L85" s="83">
        <v>1795</v>
      </c>
      <c r="M85" s="83">
        <v>1746</v>
      </c>
    </row>
    <row r="86" spans="1:13">
      <c r="A86" s="90" t="s">
        <v>113</v>
      </c>
      <c r="B86" s="82">
        <v>7957</v>
      </c>
      <c r="C86" s="73">
        <v>7953</v>
      </c>
      <c r="D86" s="54">
        <v>7934</v>
      </c>
      <c r="E86" s="54">
        <v>7887</v>
      </c>
      <c r="F86" s="54">
        <v>7834</v>
      </c>
      <c r="G86" s="54">
        <v>7746</v>
      </c>
      <c r="H86" s="54">
        <v>7679</v>
      </c>
      <c r="I86" s="54">
        <v>7624</v>
      </c>
      <c r="J86" s="54">
        <v>7533</v>
      </c>
      <c r="K86" s="83">
        <v>7478</v>
      </c>
      <c r="L86" s="83">
        <v>7097</v>
      </c>
      <c r="M86" s="83">
        <v>6990</v>
      </c>
    </row>
    <row r="87" spans="1:13">
      <c r="H87" s="13"/>
    </row>
    <row r="88" spans="1:13">
      <c r="H88" s="13"/>
    </row>
    <row r="89" spans="1:13">
      <c r="H89" s="13"/>
    </row>
    <row r="90" spans="1:13" ht="19">
      <c r="A90" s="25" t="s">
        <v>122</v>
      </c>
      <c r="B90" s="2"/>
      <c r="C90" s="16"/>
      <c r="D90" s="7"/>
      <c r="H90" s="13"/>
    </row>
    <row r="91" spans="1:13" ht="19">
      <c r="A91" s="25" t="s">
        <v>123</v>
      </c>
      <c r="B91" s="2"/>
      <c r="C91" s="17"/>
      <c r="D91" s="18"/>
      <c r="E91" s="19"/>
      <c r="F91" s="19"/>
      <c r="H91" s="13"/>
    </row>
    <row r="92" spans="1:13">
      <c r="A92" s="7"/>
      <c r="B92" s="13"/>
      <c r="C92" s="10"/>
      <c r="D92" s="7"/>
      <c r="H92" s="13"/>
    </row>
    <row r="93" spans="1:13">
      <c r="H93" s="13"/>
    </row>
    <row r="94" spans="1:13">
      <c r="H94" s="13"/>
    </row>
    <row r="95" spans="1:13">
      <c r="H95" s="13"/>
    </row>
    <row r="96" spans="1:13">
      <c r="H96" s="13"/>
    </row>
    <row r="97" spans="8:8">
      <c r="H97" s="13"/>
    </row>
    <row r="98" spans="8:8">
      <c r="H98" s="13"/>
    </row>
  </sheetData>
  <mergeCells count="2">
    <mergeCell ref="A2:B2"/>
    <mergeCell ref="D3:F3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8"/>
  <sheetViews>
    <sheetView zoomScaleNormal="100" workbookViewId="0">
      <selection activeCell="G27" sqref="G27"/>
    </sheetView>
  </sheetViews>
  <sheetFormatPr baseColWidth="10" defaultColWidth="9.1640625" defaultRowHeight="14"/>
  <cols>
    <col min="1" max="1" width="30.6640625" style="2" customWidth="1"/>
    <col min="2" max="2" width="16.5" style="2" customWidth="1"/>
    <col min="3" max="3" width="19.33203125" style="2" customWidth="1"/>
    <col min="4" max="4" width="17.6640625" style="2" customWidth="1"/>
    <col min="5" max="5" width="14.1640625" style="2" customWidth="1"/>
    <col min="6" max="6" width="10" style="2" customWidth="1"/>
    <col min="7" max="8" width="11.83203125" style="2" customWidth="1"/>
    <col min="9" max="9" width="13" style="2" customWidth="1"/>
    <col min="10" max="10" width="12.83203125" style="2" customWidth="1"/>
    <col min="11" max="11" width="11.5" style="2" customWidth="1"/>
    <col min="12" max="13" width="15.5" style="2" customWidth="1"/>
    <col min="14" max="16384" width="9.1640625" style="2"/>
  </cols>
  <sheetData>
    <row r="1" spans="1:13" ht="19">
      <c r="A1" s="20" t="s">
        <v>120</v>
      </c>
      <c r="C1" s="20"/>
      <c r="E1" s="111"/>
      <c r="F1" s="111"/>
      <c r="G1" s="111"/>
    </row>
    <row r="2" spans="1:13" ht="18.75" customHeight="1">
      <c r="A2" s="112" t="s">
        <v>50</v>
      </c>
      <c r="B2" s="112"/>
      <c r="C2" s="112"/>
      <c r="D2" s="112"/>
      <c r="E2" s="112"/>
      <c r="F2" s="112"/>
      <c r="G2" s="112"/>
    </row>
    <row r="3" spans="1:13" ht="15">
      <c r="D3" s="30"/>
      <c r="E3" s="113"/>
      <c r="F3" s="113"/>
      <c r="G3" s="32"/>
      <c r="L3" s="32"/>
      <c r="M3" s="32" t="s">
        <v>125</v>
      </c>
    </row>
    <row r="4" spans="1:13" ht="15">
      <c r="A4" s="24" t="s">
        <v>0</v>
      </c>
      <c r="B4" s="23" t="s">
        <v>121</v>
      </c>
      <c r="C4" s="23">
        <v>2012</v>
      </c>
      <c r="D4" s="23">
        <v>2013</v>
      </c>
      <c r="E4" s="29">
        <v>2014</v>
      </c>
      <c r="F4" s="36">
        <v>2015</v>
      </c>
      <c r="G4" s="29">
        <v>2016</v>
      </c>
      <c r="H4" s="29">
        <v>2017</v>
      </c>
      <c r="I4" s="29">
        <v>2018</v>
      </c>
      <c r="J4" s="40">
        <v>2019</v>
      </c>
      <c r="K4" s="43">
        <v>2020</v>
      </c>
      <c r="L4" s="43">
        <v>2021</v>
      </c>
      <c r="M4" s="43">
        <v>2022</v>
      </c>
    </row>
    <row r="5" spans="1:13" s="12" customFormat="1" ht="24" customHeight="1">
      <c r="A5" s="61" t="s">
        <v>1</v>
      </c>
      <c r="B5" s="45">
        <f t="shared" ref="B5:G5" si="0">B7+B13+B18+B23+B30+B37+B42+B49+B55+B59</f>
        <v>1107567</v>
      </c>
      <c r="C5" s="45">
        <f t="shared" si="0"/>
        <v>1108721</v>
      </c>
      <c r="D5" s="45">
        <f t="shared" si="0"/>
        <v>1109412</v>
      </c>
      <c r="E5" s="45">
        <f t="shared" si="0"/>
        <v>1103031</v>
      </c>
      <c r="F5" s="45">
        <f t="shared" si="0"/>
        <v>1097670</v>
      </c>
      <c r="G5" s="45">
        <f t="shared" si="0"/>
        <v>1091571</v>
      </c>
      <c r="H5" s="45">
        <f t="shared" ref="H5:M5" si="1">H7+H13+H18+H23+H30+H37+H42+H49+H55+H59</f>
        <v>1084698</v>
      </c>
      <c r="I5" s="45">
        <f t="shared" si="1"/>
        <v>1076925</v>
      </c>
      <c r="J5" s="45">
        <f t="shared" si="1"/>
        <v>1070352</v>
      </c>
      <c r="K5" s="45">
        <f t="shared" si="1"/>
        <v>1067608</v>
      </c>
      <c r="L5" s="45">
        <f t="shared" si="1"/>
        <v>1067696</v>
      </c>
      <c r="M5" s="45">
        <f t="shared" si="1"/>
        <v>1069220</v>
      </c>
    </row>
    <row r="6" spans="1:13" s="12" customFormat="1" ht="17">
      <c r="A6" s="24"/>
      <c r="B6" s="45"/>
      <c r="C6" s="45"/>
      <c r="D6" s="96"/>
      <c r="E6" s="97"/>
      <c r="F6" s="97"/>
      <c r="G6" s="97"/>
      <c r="H6" s="96"/>
      <c r="I6" s="96"/>
      <c r="J6" s="96"/>
      <c r="K6" s="96"/>
      <c r="L6" s="96"/>
      <c r="M6" s="96"/>
    </row>
    <row r="7" spans="1:13" s="4" customFormat="1" ht="17">
      <c r="A7" s="61" t="s">
        <v>2</v>
      </c>
      <c r="B7" s="65">
        <f t="shared" ref="B7:G7" si="2">SUM(B8:B11)</f>
        <v>102330</v>
      </c>
      <c r="C7" s="65">
        <f t="shared" si="2"/>
        <v>102451</v>
      </c>
      <c r="D7" s="65">
        <f t="shared" si="2"/>
        <v>102439</v>
      </c>
      <c r="E7" s="65">
        <f t="shared" si="2"/>
        <v>101988</v>
      </c>
      <c r="F7" s="65">
        <f t="shared" si="2"/>
        <v>101436</v>
      </c>
      <c r="G7" s="65">
        <f t="shared" si="2"/>
        <v>100725</v>
      </c>
      <c r="H7" s="65">
        <f>SUM(H8:H11)</f>
        <v>100224</v>
      </c>
      <c r="I7" s="65">
        <f>SUM(I8:I11)</f>
        <v>99544</v>
      </c>
      <c r="J7" s="65">
        <f>SUM(J8:J11)</f>
        <v>98457</v>
      </c>
      <c r="K7" s="65">
        <f>SUM(K8:K11)</f>
        <v>97928</v>
      </c>
      <c r="L7" s="65">
        <f>SUM(L8:L11)</f>
        <v>97881</v>
      </c>
      <c r="M7" s="65">
        <f t="shared" ref="M7" si="3">SUM(M8:M11)</f>
        <v>98101</v>
      </c>
    </row>
    <row r="8" spans="1:13" ht="17">
      <c r="A8" s="98" t="s">
        <v>3</v>
      </c>
      <c r="B8" s="54">
        <v>45453</v>
      </c>
      <c r="C8" s="54">
        <v>45487</v>
      </c>
      <c r="D8" s="54">
        <v>45306</v>
      </c>
      <c r="E8" s="54">
        <v>44849</v>
      </c>
      <c r="F8" s="54">
        <v>44301</v>
      </c>
      <c r="G8" s="54">
        <v>43704</v>
      </c>
      <c r="H8" s="54">
        <v>43234</v>
      </c>
      <c r="I8" s="54">
        <v>42699</v>
      </c>
      <c r="J8" s="54">
        <v>41921</v>
      </c>
      <c r="K8" s="54">
        <v>41545</v>
      </c>
      <c r="L8" s="54">
        <v>41587</v>
      </c>
      <c r="M8" s="54">
        <v>41689</v>
      </c>
    </row>
    <row r="9" spans="1:13" ht="17">
      <c r="A9" s="98" t="s">
        <v>4</v>
      </c>
      <c r="B9" s="54">
        <v>15578</v>
      </c>
      <c r="C9" s="54">
        <v>15603</v>
      </c>
      <c r="D9" s="54">
        <v>15649</v>
      </c>
      <c r="E9" s="54">
        <v>15625</v>
      </c>
      <c r="F9" s="54">
        <v>15562</v>
      </c>
      <c r="G9" s="54">
        <v>15479</v>
      </c>
      <c r="H9" s="54">
        <v>15458</v>
      </c>
      <c r="I9" s="54">
        <v>15387</v>
      </c>
      <c r="J9" s="54">
        <v>15226</v>
      </c>
      <c r="K9" s="54">
        <v>15184</v>
      </c>
      <c r="L9" s="54">
        <v>15199</v>
      </c>
      <c r="M9" s="54">
        <v>15249</v>
      </c>
    </row>
    <row r="10" spans="1:13" ht="17">
      <c r="A10" s="98" t="s">
        <v>5</v>
      </c>
      <c r="B10" s="54">
        <v>13250</v>
      </c>
      <c r="C10" s="54">
        <v>13276</v>
      </c>
      <c r="D10" s="54">
        <v>13361</v>
      </c>
      <c r="E10" s="54">
        <v>13378</v>
      </c>
      <c r="F10" s="54">
        <v>13448</v>
      </c>
      <c r="G10" s="54">
        <v>13485</v>
      </c>
      <c r="H10" s="54">
        <v>13530</v>
      </c>
      <c r="I10" s="54">
        <v>13553</v>
      </c>
      <c r="J10" s="54">
        <v>13522</v>
      </c>
      <c r="K10" s="54">
        <v>13526</v>
      </c>
      <c r="L10" s="54">
        <v>13463</v>
      </c>
      <c r="M10" s="54">
        <v>13494</v>
      </c>
    </row>
    <row r="11" spans="1:13" ht="17">
      <c r="A11" s="98" t="s">
        <v>6</v>
      </c>
      <c r="B11" s="54">
        <v>28049</v>
      </c>
      <c r="C11" s="54">
        <v>28085</v>
      </c>
      <c r="D11" s="54">
        <v>28123</v>
      </c>
      <c r="E11" s="54">
        <v>28136</v>
      </c>
      <c r="F11" s="54">
        <v>28125</v>
      </c>
      <c r="G11" s="54">
        <v>28057</v>
      </c>
      <c r="H11" s="54">
        <v>28002</v>
      </c>
      <c r="I11" s="54">
        <v>27905</v>
      </c>
      <c r="J11" s="54">
        <v>27788</v>
      </c>
      <c r="K11" s="54">
        <v>27673</v>
      </c>
      <c r="L11" s="54">
        <v>27632</v>
      </c>
      <c r="M11" s="54">
        <v>27669</v>
      </c>
    </row>
    <row r="12" spans="1:13" ht="17">
      <c r="A12" s="24"/>
      <c r="B12" s="54"/>
      <c r="C12" s="54"/>
      <c r="D12" s="54"/>
      <c r="E12" s="31"/>
      <c r="F12" s="31"/>
      <c r="G12" s="31"/>
      <c r="H12" s="54"/>
      <c r="I12" s="54"/>
      <c r="J12" s="54"/>
      <c r="K12" s="54"/>
      <c r="L12" s="54"/>
      <c r="M12" s="54"/>
    </row>
    <row r="13" spans="1:13" s="4" customFormat="1" ht="17">
      <c r="A13" s="61" t="s">
        <v>7</v>
      </c>
      <c r="B13" s="99">
        <f t="shared" ref="B13:G13" si="4">SUM(B14:B16)</f>
        <v>186264</v>
      </c>
      <c r="C13" s="99">
        <f t="shared" si="4"/>
        <v>186450</v>
      </c>
      <c r="D13" s="99">
        <f t="shared" si="4"/>
        <v>186849</v>
      </c>
      <c r="E13" s="99">
        <f t="shared" si="4"/>
        <v>186375</v>
      </c>
      <c r="F13" s="100">
        <f t="shared" si="4"/>
        <v>186126</v>
      </c>
      <c r="G13" s="100">
        <f t="shared" si="4"/>
        <v>185803</v>
      </c>
      <c r="H13" s="99">
        <f>SUM(H14:H16)</f>
        <v>185721</v>
      </c>
      <c r="I13" s="99">
        <f>SUM(I14:I16)</f>
        <v>185420</v>
      </c>
      <c r="J13" s="99">
        <f>SUM(J14:J16)</f>
        <v>184523</v>
      </c>
      <c r="K13" s="99">
        <f>SUM(K14:K16)</f>
        <v>184442</v>
      </c>
      <c r="L13" s="99">
        <f>SUM(L14:L16)</f>
        <v>184684</v>
      </c>
      <c r="M13" s="99">
        <f t="shared" ref="M13" si="5">SUM(M14:M16)</f>
        <v>184646</v>
      </c>
    </row>
    <row r="14" spans="1:13" ht="17">
      <c r="A14" s="98" t="s">
        <v>8</v>
      </c>
      <c r="B14" s="54">
        <v>70744</v>
      </c>
      <c r="C14" s="54">
        <v>70797</v>
      </c>
      <c r="D14" s="54">
        <v>70761</v>
      </c>
      <c r="E14" s="54">
        <v>70320</v>
      </c>
      <c r="F14" s="54">
        <v>70062</v>
      </c>
      <c r="G14" s="54">
        <v>69730</v>
      </c>
      <c r="H14" s="54">
        <v>69557</v>
      </c>
      <c r="I14" s="54">
        <v>69268</v>
      </c>
      <c r="J14" s="54">
        <v>68712</v>
      </c>
      <c r="K14" s="54">
        <v>68590</v>
      </c>
      <c r="L14" s="54">
        <v>68519</v>
      </c>
      <c r="M14" s="54">
        <v>68393</v>
      </c>
    </row>
    <row r="15" spans="1:13" ht="17">
      <c r="A15" s="98" t="s">
        <v>9</v>
      </c>
      <c r="B15" s="54">
        <v>57293</v>
      </c>
      <c r="C15" s="54">
        <v>57409</v>
      </c>
      <c r="D15" s="54">
        <v>57701</v>
      </c>
      <c r="E15" s="54">
        <v>57649</v>
      </c>
      <c r="F15" s="54">
        <v>57609</v>
      </c>
      <c r="G15" s="54">
        <v>57581</v>
      </c>
      <c r="H15" s="54">
        <v>57659</v>
      </c>
      <c r="I15" s="54">
        <v>57689</v>
      </c>
      <c r="J15" s="54">
        <v>57443</v>
      </c>
      <c r="K15" s="54">
        <v>57449</v>
      </c>
      <c r="L15" s="54">
        <v>57510</v>
      </c>
      <c r="M15" s="54">
        <v>57537</v>
      </c>
    </row>
    <row r="16" spans="1:13" ht="17">
      <c r="A16" s="98" t="s">
        <v>10</v>
      </c>
      <c r="B16" s="54">
        <v>58227</v>
      </c>
      <c r="C16" s="54">
        <v>58244</v>
      </c>
      <c r="D16" s="54">
        <v>58387</v>
      </c>
      <c r="E16" s="54">
        <v>58406</v>
      </c>
      <c r="F16" s="54">
        <v>58455</v>
      </c>
      <c r="G16" s="54">
        <v>58492</v>
      </c>
      <c r="H16" s="54">
        <v>58505</v>
      </c>
      <c r="I16" s="54">
        <v>58463</v>
      </c>
      <c r="J16" s="54">
        <v>58368</v>
      </c>
      <c r="K16" s="54">
        <v>58403</v>
      </c>
      <c r="L16" s="54">
        <v>58655</v>
      </c>
      <c r="M16" s="54">
        <v>58716</v>
      </c>
    </row>
    <row r="17" spans="1:13" ht="17">
      <c r="A17" s="31"/>
      <c r="B17" s="54"/>
      <c r="C17" s="54"/>
      <c r="D17" s="54"/>
      <c r="E17" s="31"/>
      <c r="F17" s="31"/>
      <c r="G17" s="31"/>
      <c r="H17" s="54"/>
      <c r="I17" s="54"/>
      <c r="J17" s="54"/>
      <c r="K17" s="54"/>
      <c r="L17" s="54"/>
      <c r="M17" s="54"/>
    </row>
    <row r="18" spans="1:13" s="4" customFormat="1" ht="17">
      <c r="A18" s="61" t="s">
        <v>11</v>
      </c>
      <c r="B18" s="99">
        <f t="shared" ref="B18:G18" si="6">SUM(B19:B21)</f>
        <v>180720</v>
      </c>
      <c r="C18" s="99">
        <f t="shared" si="6"/>
        <v>180984</v>
      </c>
      <c r="D18" s="99">
        <f t="shared" si="6"/>
        <v>181821</v>
      </c>
      <c r="E18" s="99">
        <f t="shared" si="6"/>
        <v>181877</v>
      </c>
      <c r="F18" s="99">
        <f t="shared" si="6"/>
        <v>182007</v>
      </c>
      <c r="G18" s="99">
        <f t="shared" si="6"/>
        <v>181991</v>
      </c>
      <c r="H18" s="99">
        <f>SUM(H19:H21)</f>
        <v>181772</v>
      </c>
      <c r="I18" s="99">
        <f>SUM(I19:I21)</f>
        <v>181408</v>
      </c>
      <c r="J18" s="99">
        <f>SUM(J19:J21)</f>
        <v>181237</v>
      </c>
      <c r="K18" s="99">
        <f>SUM(K19:K21)</f>
        <v>181410</v>
      </c>
      <c r="L18" s="99">
        <f>SUM(L19:L21)</f>
        <v>181470</v>
      </c>
      <c r="M18" s="99">
        <f t="shared" ref="M18" si="7">SUM(M19:M21)</f>
        <v>181861</v>
      </c>
    </row>
    <row r="19" spans="1:13" ht="17">
      <c r="A19" s="98" t="s">
        <v>12</v>
      </c>
      <c r="B19" s="54">
        <v>73582</v>
      </c>
      <c r="C19" s="54">
        <v>73702</v>
      </c>
      <c r="D19" s="54">
        <v>74121</v>
      </c>
      <c r="E19" s="54">
        <v>74393</v>
      </c>
      <c r="F19" s="31">
        <v>74610</v>
      </c>
      <c r="G19" s="31">
        <v>74709</v>
      </c>
      <c r="H19" s="54">
        <v>74810</v>
      </c>
      <c r="I19" s="54">
        <v>74890</v>
      </c>
      <c r="J19" s="54">
        <v>75040</v>
      </c>
      <c r="K19" s="54">
        <v>75235</v>
      </c>
      <c r="L19" s="54">
        <v>75261</v>
      </c>
      <c r="M19" s="54">
        <v>75559</v>
      </c>
    </row>
    <row r="20" spans="1:13" ht="17">
      <c r="A20" s="98" t="s">
        <v>13</v>
      </c>
      <c r="B20" s="54">
        <v>20291</v>
      </c>
      <c r="C20" s="54">
        <v>20336</v>
      </c>
      <c r="D20" s="54">
        <v>20415</v>
      </c>
      <c r="E20" s="54">
        <v>20190</v>
      </c>
      <c r="F20" s="31">
        <v>20071</v>
      </c>
      <c r="G20" s="31">
        <v>19973</v>
      </c>
      <c r="H20" s="54">
        <v>19721</v>
      </c>
      <c r="I20" s="54">
        <v>19506</v>
      </c>
      <c r="J20" s="54">
        <v>19302</v>
      </c>
      <c r="K20" s="54">
        <v>19230</v>
      </c>
      <c r="L20" s="54">
        <v>19198</v>
      </c>
      <c r="M20" s="54">
        <v>19165</v>
      </c>
    </row>
    <row r="21" spans="1:13" ht="17">
      <c r="A21" s="98" t="s">
        <v>14</v>
      </c>
      <c r="B21" s="54">
        <v>86847</v>
      </c>
      <c r="C21" s="54">
        <v>86946</v>
      </c>
      <c r="D21" s="54">
        <v>87285</v>
      </c>
      <c r="E21" s="54">
        <v>87294</v>
      </c>
      <c r="F21" s="31">
        <v>87326</v>
      </c>
      <c r="G21" s="31">
        <v>87309</v>
      </c>
      <c r="H21" s="54">
        <v>87241</v>
      </c>
      <c r="I21" s="54">
        <v>87012</v>
      </c>
      <c r="J21" s="54">
        <v>86895</v>
      </c>
      <c r="K21" s="54">
        <v>86945</v>
      </c>
      <c r="L21" s="54">
        <v>87011</v>
      </c>
      <c r="M21" s="54">
        <v>87137</v>
      </c>
    </row>
    <row r="22" spans="1:13" ht="17">
      <c r="A22" s="24"/>
      <c r="B22" s="54"/>
      <c r="C22" s="54"/>
      <c r="D22" s="54"/>
      <c r="E22" s="31"/>
      <c r="F22" s="31"/>
      <c r="G22" s="31"/>
      <c r="H22" s="54"/>
      <c r="I22" s="54"/>
      <c r="J22" s="54"/>
      <c r="K22" s="54"/>
      <c r="L22" s="54"/>
      <c r="M22" s="54"/>
    </row>
    <row r="23" spans="1:13" s="4" customFormat="1" ht="17">
      <c r="A23" s="61" t="s">
        <v>15</v>
      </c>
      <c r="B23" s="99">
        <f t="shared" ref="B23:G23" si="8">SUM(B24:B28)</f>
        <v>163652</v>
      </c>
      <c r="C23" s="99">
        <f t="shared" si="8"/>
        <v>163924</v>
      </c>
      <c r="D23" s="99">
        <f t="shared" si="8"/>
        <v>164245</v>
      </c>
      <c r="E23" s="99">
        <f t="shared" si="8"/>
        <v>163279</v>
      </c>
      <c r="F23" s="99">
        <f t="shared" si="8"/>
        <v>162794</v>
      </c>
      <c r="G23" s="99">
        <f t="shared" si="8"/>
        <v>162614</v>
      </c>
      <c r="H23" s="99">
        <f>SUM(H24:H28)</f>
        <v>162342</v>
      </c>
      <c r="I23" s="99">
        <f>SUM(I24:I28)</f>
        <v>162019</v>
      </c>
      <c r="J23" s="99">
        <f>SUM(J24:J28)</f>
        <v>161278</v>
      </c>
      <c r="K23" s="99">
        <f>SUM(K24:K28)</f>
        <v>161084</v>
      </c>
      <c r="L23" s="99">
        <f>SUM(L24:L28)</f>
        <v>161056</v>
      </c>
      <c r="M23" s="99">
        <f t="shared" ref="M23" si="9">SUM(M24:M28)</f>
        <v>161862</v>
      </c>
    </row>
    <row r="24" spans="1:13" ht="17">
      <c r="A24" s="98" t="s">
        <v>16</v>
      </c>
      <c r="B24" s="54">
        <v>31922</v>
      </c>
      <c r="C24" s="54">
        <v>31968</v>
      </c>
      <c r="D24" s="54">
        <v>31975</v>
      </c>
      <c r="E24" s="54">
        <v>31644</v>
      </c>
      <c r="F24" s="54">
        <v>31419</v>
      </c>
      <c r="G24" s="54">
        <v>31254</v>
      </c>
      <c r="H24" s="54">
        <v>31107</v>
      </c>
      <c r="I24" s="54">
        <v>30938</v>
      </c>
      <c r="J24" s="54">
        <v>30681</v>
      </c>
      <c r="K24" s="54">
        <v>30543</v>
      </c>
      <c r="L24" s="54">
        <v>30504</v>
      </c>
      <c r="M24" s="54">
        <v>30610</v>
      </c>
    </row>
    <row r="25" spans="1:13" ht="17">
      <c r="A25" s="98" t="s">
        <v>17</v>
      </c>
      <c r="B25" s="54">
        <v>7938</v>
      </c>
      <c r="C25" s="54">
        <v>7926</v>
      </c>
      <c r="D25" s="54">
        <v>7899</v>
      </c>
      <c r="E25" s="54">
        <v>7832</v>
      </c>
      <c r="F25" s="54">
        <v>7774</v>
      </c>
      <c r="G25" s="54">
        <v>7751</v>
      </c>
      <c r="H25" s="54">
        <v>7704</v>
      </c>
      <c r="I25" s="54">
        <v>7689</v>
      </c>
      <c r="J25" s="54">
        <v>7641</v>
      </c>
      <c r="K25" s="54">
        <v>7597</v>
      </c>
      <c r="L25" s="54">
        <v>7561</v>
      </c>
      <c r="M25" s="54">
        <v>7594</v>
      </c>
    </row>
    <row r="26" spans="1:13" ht="17">
      <c r="A26" s="98" t="s">
        <v>18</v>
      </c>
      <c r="B26" s="55">
        <v>77330</v>
      </c>
      <c r="C26" s="55">
        <v>77545</v>
      </c>
      <c r="D26" s="54">
        <v>77781</v>
      </c>
      <c r="E26" s="54">
        <v>77419</v>
      </c>
      <c r="F26" s="54">
        <v>77349</v>
      </c>
      <c r="G26" s="54">
        <v>77393</v>
      </c>
      <c r="H26" s="54">
        <v>77343</v>
      </c>
      <c r="I26" s="54">
        <v>77289</v>
      </c>
      <c r="J26" s="54">
        <v>77070</v>
      </c>
      <c r="K26" s="54">
        <v>77110</v>
      </c>
      <c r="L26" s="54">
        <v>77279</v>
      </c>
      <c r="M26" s="54">
        <v>77751</v>
      </c>
    </row>
    <row r="27" spans="1:13" ht="17">
      <c r="A27" s="98" t="s">
        <v>19</v>
      </c>
      <c r="B27" s="54">
        <v>20547</v>
      </c>
      <c r="C27" s="54">
        <v>20590</v>
      </c>
      <c r="D27" s="54">
        <v>20727</v>
      </c>
      <c r="E27" s="54">
        <v>20740</v>
      </c>
      <c r="F27" s="54">
        <v>20781</v>
      </c>
      <c r="G27" s="54">
        <v>20841</v>
      </c>
      <c r="H27" s="54">
        <v>20883</v>
      </c>
      <c r="I27" s="54">
        <v>20893</v>
      </c>
      <c r="J27" s="54">
        <v>20887</v>
      </c>
      <c r="K27" s="54">
        <v>20897</v>
      </c>
      <c r="L27" s="54">
        <v>20914</v>
      </c>
      <c r="M27" s="54">
        <v>20986</v>
      </c>
    </row>
    <row r="28" spans="1:13" ht="17">
      <c r="A28" s="101" t="s">
        <v>20</v>
      </c>
      <c r="B28" s="54">
        <v>25915</v>
      </c>
      <c r="C28" s="54">
        <v>25895</v>
      </c>
      <c r="D28" s="54">
        <v>25863</v>
      </c>
      <c r="E28" s="54">
        <v>25644</v>
      </c>
      <c r="F28" s="54">
        <v>25471</v>
      </c>
      <c r="G28" s="54">
        <v>25375</v>
      </c>
      <c r="H28" s="54">
        <v>25305</v>
      </c>
      <c r="I28" s="54">
        <v>25210</v>
      </c>
      <c r="J28" s="54">
        <v>24999</v>
      </c>
      <c r="K28" s="54">
        <v>24937</v>
      </c>
      <c r="L28" s="54">
        <v>24798</v>
      </c>
      <c r="M28" s="54">
        <v>24921</v>
      </c>
    </row>
    <row r="29" spans="1:13" ht="17">
      <c r="A29" s="31"/>
      <c r="B29" s="54"/>
      <c r="C29" s="54"/>
      <c r="D29" s="54"/>
      <c r="E29" s="31"/>
      <c r="F29" s="31"/>
      <c r="G29" s="31"/>
      <c r="H29" s="54"/>
      <c r="I29" s="54"/>
      <c r="J29" s="54"/>
      <c r="K29" s="54"/>
      <c r="L29" s="54"/>
      <c r="M29" s="54"/>
    </row>
    <row r="30" spans="1:13" s="4" customFormat="1" ht="17">
      <c r="A30" s="91" t="s">
        <v>21</v>
      </c>
      <c r="B30" s="65">
        <f t="shared" ref="B30:G30" si="10">SUM(B31:B35)</f>
        <v>97753</v>
      </c>
      <c r="C30" s="65">
        <f t="shared" si="10"/>
        <v>97842</v>
      </c>
      <c r="D30" s="65">
        <f t="shared" si="10"/>
        <v>97452</v>
      </c>
      <c r="E30" s="65">
        <f t="shared" si="10"/>
        <v>95326</v>
      </c>
      <c r="F30" s="65">
        <f t="shared" si="10"/>
        <v>93689</v>
      </c>
      <c r="G30" s="65">
        <f t="shared" si="10"/>
        <v>92147</v>
      </c>
      <c r="H30" s="65">
        <f>SUM(H31:H35)</f>
        <v>90332</v>
      </c>
      <c r="I30" s="65">
        <f>SUM(I31:I35)</f>
        <v>88519</v>
      </c>
      <c r="J30" s="65">
        <f>SUM(J31:J35)</f>
        <v>87886</v>
      </c>
      <c r="K30" s="65">
        <f>SUM(K31:K35)</f>
        <v>87242</v>
      </c>
      <c r="L30" s="65">
        <f>SUM(L31:L35)</f>
        <v>87179</v>
      </c>
      <c r="M30" s="65">
        <f t="shared" ref="M30" si="11">SUM(M31:M35)</f>
        <v>87207</v>
      </c>
    </row>
    <row r="31" spans="1:13" ht="17">
      <c r="A31" s="101" t="s">
        <v>22</v>
      </c>
      <c r="B31" s="55">
        <v>22675</v>
      </c>
      <c r="C31" s="55">
        <v>22675</v>
      </c>
      <c r="D31" s="54">
        <v>22462</v>
      </c>
      <c r="E31" s="54">
        <v>21755</v>
      </c>
      <c r="F31" s="31">
        <v>21184</v>
      </c>
      <c r="G31" s="31">
        <v>20634</v>
      </c>
      <c r="H31" s="54">
        <v>20018</v>
      </c>
      <c r="I31" s="54">
        <v>19411</v>
      </c>
      <c r="J31" s="54">
        <v>19158</v>
      </c>
      <c r="K31" s="54">
        <v>18967</v>
      </c>
      <c r="L31" s="54">
        <v>19012</v>
      </c>
      <c r="M31" s="54">
        <v>19008</v>
      </c>
    </row>
    <row r="32" spans="1:13" ht="17">
      <c r="A32" s="101" t="s">
        <v>23</v>
      </c>
      <c r="B32" s="55">
        <v>22161</v>
      </c>
      <c r="C32" s="55">
        <v>22141</v>
      </c>
      <c r="D32" s="54">
        <v>22138</v>
      </c>
      <c r="E32" s="54">
        <v>21970</v>
      </c>
      <c r="F32" s="31">
        <v>21887</v>
      </c>
      <c r="G32" s="31">
        <v>21822</v>
      </c>
      <c r="H32" s="54">
        <v>21699</v>
      </c>
      <c r="I32" s="54">
        <v>21565</v>
      </c>
      <c r="J32" s="54">
        <v>21486</v>
      </c>
      <c r="K32" s="54">
        <v>21389</v>
      </c>
      <c r="L32" s="54">
        <v>21350</v>
      </c>
      <c r="M32" s="54">
        <v>21327</v>
      </c>
    </row>
    <row r="33" spans="1:13" ht="17">
      <c r="A33" s="101" t="s">
        <v>24</v>
      </c>
      <c r="B33" s="54">
        <v>23349</v>
      </c>
      <c r="C33" s="54">
        <v>23413</v>
      </c>
      <c r="D33" s="54">
        <v>23475</v>
      </c>
      <c r="E33" s="54">
        <v>23301</v>
      </c>
      <c r="F33" s="31">
        <v>23209</v>
      </c>
      <c r="G33" s="31">
        <v>23119</v>
      </c>
      <c r="H33" s="54">
        <v>22945</v>
      </c>
      <c r="I33" s="54">
        <v>22785</v>
      </c>
      <c r="J33" s="54">
        <v>22820</v>
      </c>
      <c r="K33" s="54">
        <v>22810</v>
      </c>
      <c r="L33" s="54">
        <v>22735</v>
      </c>
      <c r="M33" s="54">
        <v>22808</v>
      </c>
    </row>
    <row r="34" spans="1:13" ht="17">
      <c r="A34" s="101" t="s">
        <v>25</v>
      </c>
      <c r="B34" s="54">
        <v>15156</v>
      </c>
      <c r="C34" s="54">
        <v>15164</v>
      </c>
      <c r="D34" s="54">
        <v>15109</v>
      </c>
      <c r="E34" s="54">
        <v>14774</v>
      </c>
      <c r="F34" s="31">
        <v>14518</v>
      </c>
      <c r="G34" s="31">
        <v>14282</v>
      </c>
      <c r="H34" s="54">
        <v>14017</v>
      </c>
      <c r="I34" s="54">
        <v>13766</v>
      </c>
      <c r="J34" s="54">
        <v>13683</v>
      </c>
      <c r="K34" s="54">
        <v>13588</v>
      </c>
      <c r="L34" s="54">
        <v>13582</v>
      </c>
      <c r="M34" s="54">
        <v>13564</v>
      </c>
    </row>
    <row r="35" spans="1:13" ht="17">
      <c r="A35" s="101" t="s">
        <v>26</v>
      </c>
      <c r="B35" s="54">
        <v>14412</v>
      </c>
      <c r="C35" s="54">
        <v>14449</v>
      </c>
      <c r="D35" s="54">
        <v>14268</v>
      </c>
      <c r="E35" s="54">
        <v>13526</v>
      </c>
      <c r="F35" s="31">
        <v>12891</v>
      </c>
      <c r="G35" s="31">
        <v>12290</v>
      </c>
      <c r="H35" s="54">
        <v>11653</v>
      </c>
      <c r="I35" s="54">
        <v>10992</v>
      </c>
      <c r="J35" s="54">
        <v>10739</v>
      </c>
      <c r="K35" s="54">
        <v>10488</v>
      </c>
      <c r="L35" s="54">
        <v>10500</v>
      </c>
      <c r="M35" s="54">
        <v>10500</v>
      </c>
    </row>
    <row r="36" spans="1:13" ht="17">
      <c r="A36" s="24"/>
      <c r="B36" s="54"/>
      <c r="C36" s="54"/>
      <c r="D36" s="54"/>
      <c r="E36" s="31"/>
      <c r="F36" s="31"/>
      <c r="G36" s="31"/>
      <c r="H36" s="54"/>
      <c r="I36" s="54"/>
      <c r="J36" s="54"/>
      <c r="K36" s="54"/>
      <c r="L36" s="54"/>
      <c r="M36" s="54"/>
    </row>
    <row r="37" spans="1:13" s="12" customFormat="1" ht="17">
      <c r="A37" s="91" t="s">
        <v>27</v>
      </c>
      <c r="B37" s="65">
        <f t="shared" ref="B37:G37" si="12">SUM(B38:B40)</f>
        <v>116916</v>
      </c>
      <c r="C37" s="65">
        <f t="shared" si="12"/>
        <v>116981</v>
      </c>
      <c r="D37" s="65">
        <f t="shared" si="12"/>
        <v>117129</v>
      </c>
      <c r="E37" s="65">
        <f t="shared" si="12"/>
        <v>116850</v>
      </c>
      <c r="F37" s="65">
        <f t="shared" si="12"/>
        <v>116525</v>
      </c>
      <c r="G37" s="65">
        <f t="shared" si="12"/>
        <v>116027</v>
      </c>
      <c r="H37" s="65">
        <f>SUM(H38:H40)</f>
        <v>115326</v>
      </c>
      <c r="I37" s="65">
        <f>SUM(I38:I40)</f>
        <v>114481</v>
      </c>
      <c r="J37" s="65">
        <f>SUM(J38:J40)</f>
        <v>114198</v>
      </c>
      <c r="K37" s="65">
        <f>SUM(K38:K40)</f>
        <v>114072</v>
      </c>
      <c r="L37" s="65">
        <f>SUM(L38:L40)</f>
        <v>114425</v>
      </c>
      <c r="M37" s="65">
        <f t="shared" ref="M37" si="13">SUM(M38:M40)</f>
        <v>114116</v>
      </c>
    </row>
    <row r="38" spans="1:13" ht="17">
      <c r="A38" s="101" t="s">
        <v>28</v>
      </c>
      <c r="B38" s="54">
        <v>21845</v>
      </c>
      <c r="C38" s="54">
        <v>21871</v>
      </c>
      <c r="D38" s="54">
        <v>21873</v>
      </c>
      <c r="E38" s="54">
        <v>21726</v>
      </c>
      <c r="F38" s="54">
        <v>21691</v>
      </c>
      <c r="G38" s="54">
        <v>21556</v>
      </c>
      <c r="H38" s="54">
        <v>21326</v>
      </c>
      <c r="I38" s="54">
        <v>21081</v>
      </c>
      <c r="J38" s="54">
        <v>20993</v>
      </c>
      <c r="K38" s="54">
        <v>20987</v>
      </c>
      <c r="L38" s="54">
        <v>21088</v>
      </c>
      <c r="M38" s="54">
        <v>20966</v>
      </c>
    </row>
    <row r="39" spans="1:13" ht="17">
      <c r="A39" s="101" t="s">
        <v>29</v>
      </c>
      <c r="B39" s="54">
        <v>58081</v>
      </c>
      <c r="C39" s="54">
        <v>58108</v>
      </c>
      <c r="D39" s="54">
        <v>58148</v>
      </c>
      <c r="E39" s="54">
        <v>58076</v>
      </c>
      <c r="F39" s="54">
        <v>57934</v>
      </c>
      <c r="G39" s="54">
        <v>57770</v>
      </c>
      <c r="H39" s="54">
        <v>57521</v>
      </c>
      <c r="I39" s="54">
        <v>57200</v>
      </c>
      <c r="J39" s="54">
        <v>57117</v>
      </c>
      <c r="K39" s="54">
        <v>57072</v>
      </c>
      <c r="L39" s="54">
        <v>57346</v>
      </c>
      <c r="M39" s="54">
        <v>57247</v>
      </c>
    </row>
    <row r="40" spans="1:13" ht="17">
      <c r="A40" s="101" t="s">
        <v>30</v>
      </c>
      <c r="B40" s="54">
        <v>36990</v>
      </c>
      <c r="C40" s="54">
        <v>37002</v>
      </c>
      <c r="D40" s="54">
        <v>37108</v>
      </c>
      <c r="E40" s="54">
        <v>37048</v>
      </c>
      <c r="F40" s="54">
        <v>36900</v>
      </c>
      <c r="G40" s="54">
        <v>36701</v>
      </c>
      <c r="H40" s="54">
        <v>36479</v>
      </c>
      <c r="I40" s="54">
        <v>36200</v>
      </c>
      <c r="J40" s="54">
        <v>36088</v>
      </c>
      <c r="K40" s="54">
        <v>36013</v>
      </c>
      <c r="L40" s="54">
        <v>35991</v>
      </c>
      <c r="M40" s="54">
        <v>35903</v>
      </c>
    </row>
    <row r="41" spans="1:13" ht="17">
      <c r="A41" s="31"/>
      <c r="B41" s="54"/>
      <c r="C41" s="54"/>
      <c r="D41" s="54"/>
      <c r="E41" s="31"/>
      <c r="F41" s="31"/>
      <c r="G41" s="31"/>
      <c r="H41" s="54"/>
      <c r="I41" s="54"/>
      <c r="J41" s="54"/>
      <c r="K41" s="54"/>
      <c r="L41" s="54"/>
      <c r="M41" s="54"/>
    </row>
    <row r="42" spans="1:13" s="4" customFormat="1" ht="17">
      <c r="A42" s="91" t="s">
        <v>31</v>
      </c>
      <c r="B42" s="65">
        <f t="shared" ref="B42:G42" si="14">SUM(B43:B47)</f>
        <v>105033</v>
      </c>
      <c r="C42" s="65">
        <f t="shared" si="14"/>
        <v>105197</v>
      </c>
      <c r="D42" s="65">
        <f t="shared" si="14"/>
        <v>105001</v>
      </c>
      <c r="E42" s="65">
        <f t="shared" si="14"/>
        <v>103866</v>
      </c>
      <c r="F42" s="65">
        <f t="shared" si="14"/>
        <v>102884</v>
      </c>
      <c r="G42" s="65">
        <f t="shared" si="14"/>
        <v>101189</v>
      </c>
      <c r="H42" s="65">
        <f>SUM(H43:H47)</f>
        <v>99371</v>
      </c>
      <c r="I42" s="65">
        <f>SUM(I43:I47)</f>
        <v>97417</v>
      </c>
      <c r="J42" s="65">
        <f>SUM(J43:J47)</f>
        <v>96349</v>
      </c>
      <c r="K42" s="65">
        <f>SUM(K43:K47)</f>
        <v>95795</v>
      </c>
      <c r="L42" s="65">
        <f>SUM(L43:L47)</f>
        <v>95782</v>
      </c>
      <c r="M42" s="65">
        <f t="shared" ref="M42" si="15">SUM(M43:M47)</f>
        <v>96266</v>
      </c>
    </row>
    <row r="43" spans="1:13" ht="17">
      <c r="A43" s="101" t="s">
        <v>32</v>
      </c>
      <c r="B43" s="54">
        <v>41546</v>
      </c>
      <c r="C43" s="54">
        <v>41598</v>
      </c>
      <c r="D43" s="54">
        <v>41433</v>
      </c>
      <c r="E43" s="54">
        <v>40925</v>
      </c>
      <c r="F43" s="54">
        <v>40409</v>
      </c>
      <c r="G43" s="54">
        <v>39612</v>
      </c>
      <c r="H43" s="54">
        <v>38772</v>
      </c>
      <c r="I43" s="54">
        <v>37889</v>
      </c>
      <c r="J43" s="54">
        <v>37411</v>
      </c>
      <c r="K43" s="54">
        <v>37137</v>
      </c>
      <c r="L43" s="54">
        <v>37178</v>
      </c>
      <c r="M43" s="54">
        <v>37348</v>
      </c>
    </row>
    <row r="44" spans="1:13" ht="17">
      <c r="A44" s="101" t="s">
        <v>33</v>
      </c>
      <c r="B44" s="54">
        <v>6306</v>
      </c>
      <c r="C44" s="54">
        <v>6316</v>
      </c>
      <c r="D44" s="54">
        <v>6336</v>
      </c>
      <c r="E44" s="54">
        <v>6335</v>
      </c>
      <c r="F44" s="54">
        <v>6340</v>
      </c>
      <c r="G44" s="54">
        <v>6305</v>
      </c>
      <c r="H44" s="54">
        <v>6244</v>
      </c>
      <c r="I44" s="54">
        <v>6192</v>
      </c>
      <c r="J44" s="54">
        <v>6167</v>
      </c>
      <c r="K44" s="54">
        <v>6151</v>
      </c>
      <c r="L44" s="54">
        <v>6109</v>
      </c>
      <c r="M44" s="54">
        <v>6127</v>
      </c>
    </row>
    <row r="45" spans="1:13" ht="17">
      <c r="A45" s="101" t="s">
        <v>34</v>
      </c>
      <c r="B45" s="54">
        <v>9090</v>
      </c>
      <c r="C45" s="54">
        <v>9099</v>
      </c>
      <c r="D45" s="54">
        <v>9161</v>
      </c>
      <c r="E45" s="54">
        <v>9214</v>
      </c>
      <c r="F45" s="54">
        <v>9261</v>
      </c>
      <c r="G45" s="54">
        <v>9281</v>
      </c>
      <c r="H45" s="54">
        <v>9308</v>
      </c>
      <c r="I45" s="54">
        <v>9287</v>
      </c>
      <c r="J45" s="54">
        <v>9270</v>
      </c>
      <c r="K45" s="54">
        <v>9286</v>
      </c>
      <c r="L45" s="54">
        <v>9242</v>
      </c>
      <c r="M45" s="54">
        <v>9257</v>
      </c>
    </row>
    <row r="46" spans="1:13" ht="17">
      <c r="A46" s="101" t="s">
        <v>35</v>
      </c>
      <c r="B46" s="54">
        <v>13560</v>
      </c>
      <c r="C46" s="54">
        <v>13584</v>
      </c>
      <c r="D46" s="54">
        <v>13671</v>
      </c>
      <c r="E46" s="54">
        <v>13625</v>
      </c>
      <c r="F46" s="54">
        <v>13625</v>
      </c>
      <c r="G46" s="54">
        <v>13559</v>
      </c>
      <c r="H46" s="54">
        <v>13473</v>
      </c>
      <c r="I46" s="54">
        <v>13377</v>
      </c>
      <c r="J46" s="54">
        <v>13352</v>
      </c>
      <c r="K46" s="54">
        <v>13338</v>
      </c>
      <c r="L46" s="54">
        <v>13343</v>
      </c>
      <c r="M46" s="54">
        <v>13414</v>
      </c>
    </row>
    <row r="47" spans="1:13" ht="17">
      <c r="A47" s="101" t="s">
        <v>36</v>
      </c>
      <c r="B47" s="54">
        <v>34531</v>
      </c>
      <c r="C47" s="54">
        <v>34600</v>
      </c>
      <c r="D47" s="54">
        <v>34400</v>
      </c>
      <c r="E47" s="54">
        <v>33767</v>
      </c>
      <c r="F47" s="54">
        <v>33249</v>
      </c>
      <c r="G47" s="54">
        <v>32432</v>
      </c>
      <c r="H47" s="54">
        <v>31574</v>
      </c>
      <c r="I47" s="54">
        <v>30672</v>
      </c>
      <c r="J47" s="54">
        <v>30149</v>
      </c>
      <c r="K47" s="54">
        <v>29883</v>
      </c>
      <c r="L47" s="54">
        <v>29910</v>
      </c>
      <c r="M47" s="54">
        <v>30120</v>
      </c>
    </row>
    <row r="48" spans="1:13" ht="17">
      <c r="A48" s="58"/>
      <c r="B48" s="54"/>
      <c r="C48" s="54"/>
      <c r="D48" s="54"/>
      <c r="E48" s="31"/>
      <c r="F48" s="31"/>
      <c r="G48" s="31"/>
      <c r="H48" s="54"/>
      <c r="I48" s="54"/>
      <c r="J48" s="54"/>
      <c r="K48" s="54"/>
      <c r="L48" s="54"/>
      <c r="M48" s="54"/>
    </row>
    <row r="49" spans="1:13" s="4" customFormat="1" ht="17">
      <c r="A49" s="91" t="s">
        <v>37</v>
      </c>
      <c r="B49" s="65">
        <f t="shared" ref="B49:G49" si="16">SUM(B50:B53)</f>
        <v>46601</v>
      </c>
      <c r="C49" s="65">
        <f t="shared" si="16"/>
        <v>46551</v>
      </c>
      <c r="D49" s="65">
        <f t="shared" si="16"/>
        <v>46430</v>
      </c>
      <c r="E49" s="65">
        <f t="shared" si="16"/>
        <v>46269</v>
      </c>
      <c r="F49" s="65">
        <f t="shared" si="16"/>
        <v>45752</v>
      </c>
      <c r="G49" s="65">
        <f t="shared" si="16"/>
        <v>45445</v>
      </c>
      <c r="H49" s="65">
        <f>SUM(H50:H53)</f>
        <v>45021</v>
      </c>
      <c r="I49" s="65">
        <f>SUM(I50:I53)</f>
        <v>44626</v>
      </c>
      <c r="J49" s="65">
        <f>SUM(J50:J53)</f>
        <v>44224</v>
      </c>
      <c r="K49" s="65">
        <f>SUM(K50:K53)</f>
        <v>44132</v>
      </c>
      <c r="L49" s="65">
        <f>SUM(L50:L53)</f>
        <v>43999</v>
      </c>
      <c r="M49" s="65">
        <f t="shared" ref="M49" si="17">SUM(M50:M53)</f>
        <v>44036</v>
      </c>
    </row>
    <row r="50" spans="1:13" ht="17">
      <c r="A50" s="101" t="s">
        <v>38</v>
      </c>
      <c r="B50" s="54">
        <v>8203</v>
      </c>
      <c r="C50" s="54">
        <v>8199</v>
      </c>
      <c r="D50" s="54">
        <v>8114</v>
      </c>
      <c r="E50" s="54">
        <v>8050</v>
      </c>
      <c r="F50" s="54">
        <v>7867</v>
      </c>
      <c r="G50" s="54">
        <v>7739</v>
      </c>
      <c r="H50" s="54">
        <v>7611</v>
      </c>
      <c r="I50" s="54">
        <v>7475</v>
      </c>
      <c r="J50" s="54">
        <v>7322</v>
      </c>
      <c r="K50" s="54">
        <v>7280</v>
      </c>
      <c r="L50" s="54">
        <v>7235</v>
      </c>
      <c r="M50" s="54">
        <v>7200</v>
      </c>
    </row>
    <row r="51" spans="1:13" ht="17">
      <c r="A51" s="101" t="s">
        <v>39</v>
      </c>
      <c r="B51" s="54">
        <v>20982</v>
      </c>
      <c r="C51" s="54">
        <v>20982</v>
      </c>
      <c r="D51" s="54">
        <v>20938</v>
      </c>
      <c r="E51" s="54">
        <v>20895</v>
      </c>
      <c r="F51" s="54">
        <v>20686</v>
      </c>
      <c r="G51" s="54">
        <v>20595</v>
      </c>
      <c r="H51" s="54">
        <v>20427</v>
      </c>
      <c r="I51" s="54">
        <v>20271</v>
      </c>
      <c r="J51" s="54">
        <v>20133</v>
      </c>
      <c r="K51" s="54">
        <v>20114</v>
      </c>
      <c r="L51" s="54">
        <v>20087</v>
      </c>
      <c r="M51" s="54">
        <v>20147</v>
      </c>
    </row>
    <row r="52" spans="1:13" ht="17">
      <c r="A52" s="101" t="s">
        <v>40</v>
      </c>
      <c r="B52" s="54">
        <v>2368</v>
      </c>
      <c r="C52" s="54">
        <v>2359</v>
      </c>
      <c r="D52" s="54">
        <v>2334</v>
      </c>
      <c r="E52" s="54">
        <v>2297</v>
      </c>
      <c r="F52" s="54">
        <v>2243</v>
      </c>
      <c r="G52" s="54">
        <v>2201</v>
      </c>
      <c r="H52" s="54">
        <v>2158</v>
      </c>
      <c r="I52" s="54">
        <v>2113</v>
      </c>
      <c r="J52" s="54">
        <v>2077</v>
      </c>
      <c r="K52" s="54">
        <v>2061</v>
      </c>
      <c r="L52" s="54">
        <v>2054</v>
      </c>
      <c r="M52" s="54">
        <v>2051</v>
      </c>
    </row>
    <row r="53" spans="1:13" ht="17">
      <c r="A53" s="101" t="s">
        <v>41</v>
      </c>
      <c r="B53" s="54">
        <v>15048</v>
      </c>
      <c r="C53" s="54">
        <v>15011</v>
      </c>
      <c r="D53" s="54">
        <v>15044</v>
      </c>
      <c r="E53" s="54">
        <v>15027</v>
      </c>
      <c r="F53" s="54">
        <v>14956</v>
      </c>
      <c r="G53" s="54">
        <v>14910</v>
      </c>
      <c r="H53" s="54">
        <v>14825</v>
      </c>
      <c r="I53" s="54">
        <v>14767</v>
      </c>
      <c r="J53" s="54">
        <v>14692</v>
      </c>
      <c r="K53" s="54">
        <v>14677</v>
      </c>
      <c r="L53" s="54">
        <v>14623</v>
      </c>
      <c r="M53" s="54">
        <v>14638</v>
      </c>
    </row>
    <row r="54" spans="1:13" ht="17">
      <c r="A54" s="31"/>
      <c r="B54" s="54"/>
      <c r="C54" s="54"/>
      <c r="D54" s="54"/>
      <c r="E54" s="31"/>
      <c r="F54" s="31"/>
      <c r="G54" s="31"/>
      <c r="H54" s="54"/>
      <c r="I54" s="54"/>
      <c r="J54" s="54"/>
      <c r="K54" s="54"/>
      <c r="L54" s="54"/>
      <c r="M54" s="54"/>
    </row>
    <row r="55" spans="1:13" s="4" customFormat="1" ht="17">
      <c r="A55" s="91" t="s">
        <v>42</v>
      </c>
      <c r="B55" s="65">
        <f t="shared" ref="B55:G55" si="18">SUM(B56:B57)</f>
        <v>33875</v>
      </c>
      <c r="C55" s="65">
        <f t="shared" si="18"/>
        <v>33910</v>
      </c>
      <c r="D55" s="65">
        <f t="shared" si="18"/>
        <v>33844</v>
      </c>
      <c r="E55" s="65">
        <f t="shared" si="18"/>
        <v>33513</v>
      </c>
      <c r="F55" s="65">
        <f t="shared" si="18"/>
        <v>33316</v>
      </c>
      <c r="G55" s="65">
        <f t="shared" si="18"/>
        <v>33059</v>
      </c>
      <c r="H55" s="65">
        <f>SUM(H56:H57)</f>
        <v>32659</v>
      </c>
      <c r="I55" s="65">
        <f>SUM(I56:I57)</f>
        <v>32179</v>
      </c>
      <c r="J55" s="65">
        <f>SUM(J56:J57)</f>
        <v>31689</v>
      </c>
      <c r="K55" s="65">
        <f>SUM(K56:K57)</f>
        <v>31422</v>
      </c>
      <c r="L55" s="65">
        <f>SUM(L56:L57)</f>
        <v>31274</v>
      </c>
      <c r="M55" s="65">
        <f t="shared" ref="M55" si="19">SUM(M56:M57)</f>
        <v>31293</v>
      </c>
    </row>
    <row r="56" spans="1:13" ht="17">
      <c r="A56" s="101" t="s">
        <v>43</v>
      </c>
      <c r="B56" s="54">
        <v>26051</v>
      </c>
      <c r="C56" s="54">
        <v>26076</v>
      </c>
      <c r="D56" s="54">
        <v>26025</v>
      </c>
      <c r="E56" s="54">
        <v>25758</v>
      </c>
      <c r="F56" s="54">
        <v>25617</v>
      </c>
      <c r="G56" s="54">
        <v>25421</v>
      </c>
      <c r="H56" s="54">
        <v>25092</v>
      </c>
      <c r="I56" s="54">
        <v>24717</v>
      </c>
      <c r="J56" s="54">
        <v>24325</v>
      </c>
      <c r="K56" s="54">
        <v>24110</v>
      </c>
      <c r="L56" s="54">
        <v>24002</v>
      </c>
      <c r="M56" s="54">
        <v>24018</v>
      </c>
    </row>
    <row r="57" spans="1:13" ht="17">
      <c r="A57" s="101" t="s">
        <v>44</v>
      </c>
      <c r="B57" s="54">
        <v>7824</v>
      </c>
      <c r="C57" s="54">
        <v>7834</v>
      </c>
      <c r="D57" s="54">
        <v>7819</v>
      </c>
      <c r="E57" s="54">
        <v>7755</v>
      </c>
      <c r="F57" s="54">
        <v>7699</v>
      </c>
      <c r="G57" s="54">
        <v>7638</v>
      </c>
      <c r="H57" s="54">
        <v>7567</v>
      </c>
      <c r="I57" s="54">
        <v>7462</v>
      </c>
      <c r="J57" s="54">
        <v>7364</v>
      </c>
      <c r="K57" s="54">
        <v>7312</v>
      </c>
      <c r="L57" s="54">
        <v>7272</v>
      </c>
      <c r="M57" s="54">
        <v>7275</v>
      </c>
    </row>
    <row r="58" spans="1:13" ht="17">
      <c r="A58" s="31"/>
      <c r="B58" s="47"/>
      <c r="C58" s="47"/>
      <c r="D58" s="54"/>
      <c r="E58" s="31"/>
      <c r="F58" s="31"/>
      <c r="G58" s="31"/>
      <c r="H58" s="54"/>
      <c r="I58" s="54"/>
      <c r="J58" s="54"/>
      <c r="K58" s="54"/>
      <c r="L58" s="54"/>
      <c r="M58" s="54"/>
    </row>
    <row r="59" spans="1:13" s="4" customFormat="1" ht="17">
      <c r="A59" s="91" t="s">
        <v>45</v>
      </c>
      <c r="B59" s="65">
        <f t="shared" ref="B59:G59" si="20">SUM(B60:B63)</f>
        <v>74423</v>
      </c>
      <c r="C59" s="65">
        <f t="shared" si="20"/>
        <v>74431</v>
      </c>
      <c r="D59" s="65">
        <f t="shared" si="20"/>
        <v>74202</v>
      </c>
      <c r="E59" s="65">
        <f t="shared" si="20"/>
        <v>73688</v>
      </c>
      <c r="F59" s="65">
        <f t="shared" si="20"/>
        <v>73141</v>
      </c>
      <c r="G59" s="65">
        <f t="shared" si="20"/>
        <v>72571</v>
      </c>
      <c r="H59" s="65">
        <f>SUM(H60:H63)</f>
        <v>71930</v>
      </c>
      <c r="I59" s="65">
        <f>SUM(I60:I63)</f>
        <v>71312</v>
      </c>
      <c r="J59" s="65">
        <f>SUM(J60:J63)</f>
        <v>70511</v>
      </c>
      <c r="K59" s="65">
        <f>SUM(K60:K63)</f>
        <v>70081</v>
      </c>
      <c r="L59" s="65">
        <f>SUM(L60:L63)</f>
        <v>69946</v>
      </c>
      <c r="M59" s="65">
        <f t="shared" ref="M59" si="21">SUM(M60:M63)</f>
        <v>69832</v>
      </c>
    </row>
    <row r="60" spans="1:13" s="11" customFormat="1" ht="17">
      <c r="A60" s="101" t="s">
        <v>46</v>
      </c>
      <c r="B60" s="54">
        <v>26793</v>
      </c>
      <c r="C60" s="54">
        <v>26815</v>
      </c>
      <c r="D60" s="54">
        <v>26935</v>
      </c>
      <c r="E60" s="54">
        <v>26960</v>
      </c>
      <c r="F60" s="102">
        <v>26952</v>
      </c>
      <c r="G60" s="102">
        <v>26994</v>
      </c>
      <c r="H60" s="102">
        <v>27051</v>
      </c>
      <c r="I60" s="102">
        <v>27075</v>
      </c>
      <c r="J60" s="102">
        <v>27078</v>
      </c>
      <c r="K60" s="102">
        <v>27114</v>
      </c>
      <c r="L60" s="102">
        <v>27229</v>
      </c>
      <c r="M60" s="102">
        <v>27234</v>
      </c>
    </row>
    <row r="61" spans="1:13" ht="18.75" customHeight="1">
      <c r="A61" s="103" t="s">
        <v>47</v>
      </c>
      <c r="B61" s="54">
        <v>6248</v>
      </c>
      <c r="C61" s="54">
        <v>6260</v>
      </c>
      <c r="D61" s="54">
        <v>6219</v>
      </c>
      <c r="E61" s="54">
        <v>6128</v>
      </c>
      <c r="F61" s="102">
        <v>6039</v>
      </c>
      <c r="G61" s="102">
        <v>5938</v>
      </c>
      <c r="H61" s="102">
        <v>5838</v>
      </c>
      <c r="I61" s="102">
        <v>5743</v>
      </c>
      <c r="J61" s="102">
        <v>5584</v>
      </c>
      <c r="K61" s="102">
        <v>5510</v>
      </c>
      <c r="L61" s="102">
        <v>5524</v>
      </c>
      <c r="M61" s="102">
        <v>5542</v>
      </c>
    </row>
    <row r="62" spans="1:13" s="11" customFormat="1" ht="19.5" customHeight="1">
      <c r="A62" s="101" t="s">
        <v>48</v>
      </c>
      <c r="B62" s="54">
        <v>21910</v>
      </c>
      <c r="C62" s="54">
        <v>21913</v>
      </c>
      <c r="D62" s="54">
        <v>21877</v>
      </c>
      <c r="E62" s="54">
        <v>21778</v>
      </c>
      <c r="F62" s="102">
        <v>21684</v>
      </c>
      <c r="G62" s="102">
        <v>21536</v>
      </c>
      <c r="H62" s="102">
        <v>21335</v>
      </c>
      <c r="I62" s="102">
        <v>21172</v>
      </c>
      <c r="J62" s="102">
        <v>20991</v>
      </c>
      <c r="K62" s="102">
        <v>20913</v>
      </c>
      <c r="L62" s="102">
        <v>20788</v>
      </c>
      <c r="M62" s="102">
        <v>20746</v>
      </c>
    </row>
    <row r="63" spans="1:13" s="11" customFormat="1" ht="17">
      <c r="A63" s="101" t="s">
        <v>49</v>
      </c>
      <c r="B63" s="54">
        <v>19472</v>
      </c>
      <c r="C63" s="54">
        <v>19443</v>
      </c>
      <c r="D63" s="54">
        <v>19171</v>
      </c>
      <c r="E63" s="54">
        <v>18822</v>
      </c>
      <c r="F63" s="102">
        <v>18466</v>
      </c>
      <c r="G63" s="102">
        <v>18103</v>
      </c>
      <c r="H63" s="102">
        <v>17706</v>
      </c>
      <c r="I63" s="102">
        <v>17322</v>
      </c>
      <c r="J63" s="102">
        <v>16858</v>
      </c>
      <c r="K63" s="102">
        <v>16544</v>
      </c>
      <c r="L63" s="102">
        <v>16405</v>
      </c>
      <c r="M63" s="102">
        <v>16310</v>
      </c>
    </row>
    <row r="64" spans="1:13" ht="17">
      <c r="I64" s="39"/>
      <c r="J64" s="39"/>
      <c r="K64" s="11"/>
      <c r="L64" s="11"/>
      <c r="M64" s="11"/>
    </row>
    <row r="65" spans="1:13" ht="19">
      <c r="A65" s="25" t="s">
        <v>122</v>
      </c>
      <c r="C65" s="16"/>
      <c r="D65" s="7"/>
      <c r="I65" s="39"/>
      <c r="J65" s="39"/>
      <c r="K65" s="11"/>
      <c r="L65" s="11"/>
      <c r="M65" s="11"/>
    </row>
    <row r="66" spans="1:13" ht="18">
      <c r="A66" s="25" t="s">
        <v>123</v>
      </c>
      <c r="C66" s="17"/>
      <c r="D66" s="18"/>
      <c r="E66" s="19"/>
      <c r="F66" s="19"/>
      <c r="G66" s="19"/>
      <c r="H66" s="19"/>
    </row>
    <row r="67" spans="1:13" ht="17">
      <c r="A67" s="7"/>
      <c r="B67" s="13"/>
      <c r="C67" s="10"/>
      <c r="D67" s="7"/>
    </row>
    <row r="68" spans="1:13" ht="15">
      <c r="I68" s="19"/>
      <c r="J68" s="19"/>
    </row>
  </sheetData>
  <mergeCells count="4">
    <mergeCell ref="E1:G1"/>
    <mergeCell ref="A2:D2"/>
    <mergeCell ref="E2:G2"/>
    <mergeCell ref="E3:F3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Totalpopulation</vt:lpstr>
      <vt:lpstr>Urbanpopulation</vt:lpstr>
      <vt:lpstr>Ruralpopulation</vt:lpstr>
    </vt:vector>
  </TitlesOfParts>
  <Company>NSS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kkarine</dc:creator>
  <cp:lastModifiedBy>Hovhannes Sukiasyan</cp:lastModifiedBy>
  <cp:lastPrinted>2013-08-06T06:36:01Z</cp:lastPrinted>
  <dcterms:created xsi:type="dcterms:W3CDTF">2010-05-31T12:34:12Z</dcterms:created>
  <dcterms:modified xsi:type="dcterms:W3CDTF">2026-01-14T12:43:34Z</dcterms:modified>
</cp:coreProperties>
</file>